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发支出汇总表" sheetId="1" state="visible" r:id="rId1"/>
    <sheet xmlns:r="http://schemas.openxmlformats.org/officeDocument/2006/relationships" name="RD18研发支出辅助账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8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0.5" customWidth="1" min="1" max="1"/>
    <col width="24" customWidth="1" min="2" max="2"/>
    <col width="18" customWidth="1" min="3" max="3"/>
    <col width="36" customWidth="1" min="4" max="4"/>
    <col width="18" customWidth="1" min="5" max="5"/>
    <col width="18" customWidth="1" min="6" max="6"/>
    <col width="16.5" customWidth="1" min="7" max="7"/>
    <col width="22.5" customWidth="1" min="8" max="8"/>
  </cols>
  <sheetData>
    <row r="1">
      <c r="A1" s="1" t="inlineStr">
        <is>
          <t>企业研究开发项目研发支出辅助账汇总表（年度/项目汇总）</t>
        </is>
      </c>
    </row>
    <row r="2">
      <c r="A2" s="2" t="inlineStr">
        <is>
          <t>项目编号（RD号）:</t>
        </is>
      </c>
      <c r="B2" s="3" t="inlineStr">
        <is>
          <t>RD18</t>
        </is>
      </c>
      <c r="C2" s="2" t="inlineStr">
        <is>
          <t>项目名称:</t>
        </is>
      </c>
      <c r="D2" s="3" t="inlineStr">
        <is>
          <t>装配整体式大跨度框架结构智能建造关键技术体系研究</t>
        </is>
      </c>
    </row>
    <row r="3">
      <c r="A3" s="2" t="inlineStr">
        <is>
          <t>申报所属年度:</t>
        </is>
      </c>
      <c r="B3" s="3" t="inlineStr">
        <is>
          <t>2025年度</t>
        </is>
      </c>
      <c r="C3" s="2" t="inlineStr">
        <is>
          <t>承担单位:</t>
        </is>
      </c>
      <c r="D3" s="3" t="inlineStr">
        <is>
          <t>中铁二十五局集团第三工程有限公司</t>
        </is>
      </c>
    </row>
    <row r="4">
      <c r="A4" s="2" t="inlineStr">
        <is>
          <t>立项批文/决议:</t>
        </is>
      </c>
      <c r="B4" s="3" t="inlineStr">
        <is>
          <t>科数网〔2025〕70号</t>
        </is>
      </c>
      <c r="C4" s="2" t="inlineStr">
        <is>
          <t>项目负责人:</t>
        </is>
      </c>
      <c r="D4" s="3" t="inlineStr">
        <is>
          <t>【项目负责人姓名】</t>
        </is>
      </c>
    </row>
    <row r="5"/>
    <row r="6">
      <c r="A6" s="4" t="inlineStr">
        <is>
          <t>费用归集类别 (一级科目)</t>
        </is>
      </c>
      <c r="B6" s="4" t="inlineStr">
        <is>
          <t>子项明细 (二级科目)</t>
        </is>
      </c>
      <c r="C6" s="4" t="inlineStr">
        <is>
          <t>源账归集金额 (元)</t>
        </is>
      </c>
      <c r="D6" s="4" t="inlineStr">
        <is>
          <t>财税核减/调整 (元)</t>
        </is>
      </c>
      <c r="E6" s="4" t="inlineStr">
        <is>
          <t>最终确认研发支出 (元)</t>
        </is>
      </c>
      <c r="F6" s="4" t="inlineStr">
        <is>
          <t>占总预算比例</t>
        </is>
      </c>
      <c r="G6" s="4" t="inlineStr">
        <is>
          <t>对应凭证号/辅助账索引</t>
        </is>
      </c>
      <c r="H6" s="4" t="inlineStr">
        <is>
          <t>审计与核验说明</t>
        </is>
      </c>
    </row>
    <row r="7">
      <c r="A7" s="5" t="inlineStr">
        <is>
          <t>一、人员人工费用</t>
        </is>
      </c>
      <c r="B7" s="5" t="inlineStr">
        <is>
          <t>直接研发人员工资薪金</t>
        </is>
      </c>
      <c r="C7" s="6" t="n">
        <v>3800000</v>
      </c>
      <c r="D7" s="6" t="n">
        <v>0</v>
      </c>
      <c r="E7" s="6">
        <f>C7+D7</f>
        <v/>
      </c>
      <c r="F7" s="7">
        <f>E7/$E$18</f>
        <v/>
      </c>
      <c r="G7" s="8" t="inlineStr">
        <is>
          <t>3-12月工资凭证</t>
        </is>
      </c>
      <c r="H7" s="8" t="inlineStr">
        <is>
          <t>逐月人员考勤与个税申报表核对</t>
        </is>
      </c>
    </row>
    <row r="8">
      <c r="A8" s="5" t="inlineStr">
        <is>
          <t>一、人员人工费用</t>
        </is>
      </c>
      <c r="B8" s="5" t="inlineStr">
        <is>
          <t>五险一金及补充保险</t>
        </is>
      </c>
      <c r="C8" s="6" t="n">
        <v>570982.5</v>
      </c>
      <c r="D8" s="6" t="n">
        <v>0</v>
      </c>
      <c r="E8" s="6">
        <f>C8+D8</f>
        <v/>
      </c>
      <c r="F8" s="7">
        <f>E8/$E$18</f>
        <v/>
      </c>
      <c r="G8" s="8" t="inlineStr">
        <is>
          <t>社保及公积金清册</t>
        </is>
      </c>
      <c r="H8" s="8" t="inlineStr">
        <is>
          <t>三公司实际社保缴纳清单</t>
        </is>
      </c>
    </row>
    <row r="9">
      <c r="A9" s="5" t="inlineStr">
        <is>
          <t>二、直接投入费用</t>
        </is>
      </c>
      <c r="B9" s="5" t="inlineStr">
        <is>
          <t>材料费与构件采购</t>
        </is>
      </c>
      <c r="C9" s="6" t="n">
        <v>1850000</v>
      </c>
      <c r="D9" s="6" t="n">
        <v>0</v>
      </c>
      <c r="E9" s="6">
        <f>C9+D9</f>
        <v/>
      </c>
      <c r="F9" s="7">
        <f>E9/$E$18</f>
        <v/>
      </c>
      <c r="G9" s="8" t="inlineStr">
        <is>
          <t>凭证及采购合同</t>
        </is>
      </c>
      <c r="H9" s="8" t="inlineStr">
        <is>
          <t>构件制造加工与试验试件</t>
        </is>
      </c>
    </row>
    <row r="10">
      <c r="A10" s="5" t="inlineStr">
        <is>
          <t>二、直接投入费用</t>
        </is>
      </c>
      <c r="B10" s="5" t="inlineStr">
        <is>
          <t>测试化验加工与检测费</t>
        </is>
      </c>
      <c r="C10" s="6" t="n">
        <v>428440.58</v>
      </c>
      <c r="D10" s="6" t="n">
        <v>0</v>
      </c>
      <c r="E10" s="6">
        <f>C10+D10</f>
        <v/>
      </c>
      <c r="F10" s="7">
        <f>E10/$E$18</f>
        <v/>
      </c>
      <c r="G10" s="8" t="inlineStr">
        <is>
          <t>第三方检测报告及发票</t>
        </is>
      </c>
      <c r="H10" s="8" t="inlineStr">
        <is>
          <t>声学及承载力检测服务</t>
        </is>
      </c>
    </row>
    <row r="11">
      <c r="A11" s="5" t="inlineStr">
        <is>
          <t>二、直接投入费用</t>
        </is>
      </c>
      <c r="B11" s="5" t="inlineStr">
        <is>
          <t>研发仪器运行动力与燃料</t>
        </is>
      </c>
      <c r="C11" s="6" t="n">
        <v>200000</v>
      </c>
      <c r="D11" s="6" t="n">
        <v>0</v>
      </c>
      <c r="E11" s="6">
        <f>C11+D11</f>
        <v/>
      </c>
      <c r="F11" s="7">
        <f>E11/$E$18</f>
        <v/>
      </c>
      <c r="G11" s="8" t="inlineStr">
        <is>
          <t>水电动力分配凭证</t>
        </is>
      </c>
      <c r="H11" s="8" t="inlineStr">
        <is>
          <t>现场试验区动力分摊</t>
        </is>
      </c>
    </row>
    <row r="12">
      <c r="A12" s="5" t="inlineStr">
        <is>
          <t>三、折旧费用与长期待摊</t>
        </is>
      </c>
      <c r="B12" s="5" t="inlineStr">
        <is>
          <t>研发专用仪器设备折旧</t>
        </is>
      </c>
      <c r="C12" s="6" t="n">
        <v>0</v>
      </c>
      <c r="D12" s="6" t="n">
        <v>0</v>
      </c>
      <c r="E12" s="6">
        <f>C12+D12</f>
        <v/>
      </c>
      <c r="F12" s="7">
        <f>E12/$E$18</f>
        <v/>
      </c>
      <c r="G12" s="8" t="inlineStr">
        <is>
          <t>固定资产折旧台账</t>
        </is>
      </c>
      <c r="H12" s="8" t="inlineStr">
        <is>
          <t>全景相机及测量仪器</t>
        </is>
      </c>
    </row>
    <row r="13">
      <c r="A13" s="5" t="inlineStr">
        <is>
          <t>三、折旧费用与长期待摊</t>
        </is>
      </c>
      <c r="B13" s="5" t="inlineStr">
        <is>
          <t>研发场地/设施折旧与租赁</t>
        </is>
      </c>
      <c r="C13" s="6" t="n">
        <v>0</v>
      </c>
      <c r="D13" s="6" t="n">
        <v>0</v>
      </c>
      <c r="E13" s="6">
        <f>C13+D13</f>
        <v/>
      </c>
      <c r="F13" s="7">
        <f>E13/$E$18</f>
        <v/>
      </c>
      <c r="G13" s="8" t="inlineStr">
        <is>
          <t>租赁合同及折旧表</t>
        </is>
      </c>
      <c r="H13" s="8" t="inlineStr">
        <is>
          <t>若未申报该类则列0</t>
        </is>
      </c>
    </row>
    <row r="14">
      <c r="A14" s="5" t="inlineStr">
        <is>
          <t>四、无形资产摊销</t>
        </is>
      </c>
      <c r="B14" s="5" t="inlineStr">
        <is>
          <t>研发专用软件著作/专利摊销</t>
        </is>
      </c>
      <c r="C14" s="6" t="n">
        <v>0</v>
      </c>
      <c r="D14" s="6" t="n">
        <v>0</v>
      </c>
      <c r="E14" s="6">
        <f>C14+D14</f>
        <v/>
      </c>
      <c r="F14" s="7">
        <f>E14/$E$18</f>
        <v/>
      </c>
      <c r="G14" s="8" t="inlineStr">
        <is>
          <t>软件购置发票及摊销表</t>
        </is>
      </c>
      <c r="H14" s="8" t="inlineStr">
        <is>
          <t>BIM专用插件软件分摊</t>
        </is>
      </c>
    </row>
    <row r="15">
      <c r="A15" s="5" t="inlineStr">
        <is>
          <t>五、委托外部研发费用</t>
        </is>
      </c>
      <c r="B15" s="5" t="inlineStr">
        <is>
          <t>境内高校/科研机构合作(80%)</t>
        </is>
      </c>
      <c r="C15" s="6" t="n">
        <v>0</v>
      </c>
      <c r="D15" s="6" t="n">
        <v>0</v>
      </c>
      <c r="E15" s="6">
        <f>C15+D15</f>
        <v/>
      </c>
      <c r="F15" s="7">
        <f>E15/$E$18</f>
        <v/>
      </c>
      <c r="G15" s="8" t="inlineStr">
        <is>
          <t>委托合同及登记证明</t>
        </is>
      </c>
      <c r="H15" s="8" t="inlineStr">
        <is>
          <t>委托开发须具备技术合同认定登记</t>
        </is>
      </c>
    </row>
    <row r="16">
      <c r="A16" s="5" t="inlineStr">
        <is>
          <t>六、其他相关费用</t>
        </is>
      </c>
      <c r="B16" s="5" t="inlineStr">
        <is>
          <t>知识产权申请与检索费用</t>
        </is>
      </c>
      <c r="C16" s="6" t="n">
        <v>32436.77</v>
      </c>
      <c r="D16" s="6" t="n">
        <v>0</v>
      </c>
      <c r="E16" s="6">
        <f>C16+D16</f>
        <v/>
      </c>
      <c r="F16" s="7">
        <f>E16/$E$18</f>
        <v/>
      </c>
      <c r="G16" s="8" t="inlineStr">
        <is>
          <t>专利代理发票与官费收据</t>
        </is>
      </c>
      <c r="H16" s="8" t="inlineStr">
        <is>
          <t>6项发明专利申请及维权官费</t>
        </is>
      </c>
    </row>
    <row r="17">
      <c r="A17" s="5" t="inlineStr">
        <is>
          <t>六、其他相关费用</t>
        </is>
      </c>
      <c r="B17" s="5" t="inlineStr">
        <is>
          <t>技术咨询、会议与差旅费</t>
        </is>
      </c>
      <c r="C17" s="6" t="n">
        <v>40000</v>
      </c>
      <c r="D17" s="6" t="n">
        <v>0</v>
      </c>
      <c r="E17" s="6">
        <f>C17+D17</f>
        <v/>
      </c>
      <c r="F17" s="7">
        <f>E17/$E$18</f>
        <v/>
      </c>
      <c r="G17" s="8" t="inlineStr">
        <is>
          <t>出差审批及会议纪要</t>
        </is>
      </c>
      <c r="H17" s="8" t="inlineStr">
        <is>
          <t>专家咨询费与现场研讨会</t>
        </is>
      </c>
    </row>
    <row r="18">
      <c r="A18" s="9" t="inlineStr">
        <is>
          <t>合 计</t>
        </is>
      </c>
      <c r="B18" s="9" t="inlineStr">
        <is>
          <t>研发支出总额 (RD汇总)</t>
        </is>
      </c>
      <c r="C18" s="10">
        <f>SUM(C7:C17)</f>
        <v/>
      </c>
      <c r="D18" s="10">
        <f>SUM(D7:D17)</f>
        <v/>
      </c>
      <c r="E18" s="10">
        <f>SUM(E7:E17)</f>
        <v/>
      </c>
      <c r="F18" s="11">
        <f>SUM(F7:F17)</f>
        <v/>
      </c>
      <c r="G18" s="12" t="inlineStr">
        <is>
          <t>RD18源账42条</t>
        </is>
      </c>
      <c r="H18" s="12" t="inlineStr">
        <is>
          <t>已剔除会费及非研发跨期款项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3" customWidth="1" min="3" max="3"/>
    <col width="14" customWidth="1" min="4" max="4"/>
    <col width="14" customWidth="1" min="5" max="5"/>
    <col width="14" customWidth="1" min="6" max="6"/>
    <col width="16.5" customWidth="1" min="7" max="7"/>
    <col width="21" customWidth="1" min="8" max="8"/>
    <col width="14" customWidth="1" min="9" max="9"/>
    <col width="30" customWidth="1" min="10" max="10"/>
  </cols>
  <sheetData>
    <row r="1">
      <c r="A1" s="4" t="inlineStr">
        <is>
          <t>记账日期</t>
        </is>
      </c>
      <c r="B1" s="4" t="inlineStr">
        <is>
          <t>凭证字号</t>
        </is>
      </c>
      <c r="C1" s="4" t="inlineStr">
        <is>
          <t>摘要说明</t>
        </is>
      </c>
      <c r="D1" s="4" t="inlineStr">
        <is>
          <t>归集科目分类</t>
        </is>
      </c>
      <c r="E1" s="4" t="inlineStr">
        <is>
          <t>借方发生额 (元)</t>
        </is>
      </c>
      <c r="F1" s="4" t="inlineStr">
        <is>
          <t>贷方发生额 (元)</t>
        </is>
      </c>
      <c r="G1" s="4" t="inlineStr">
        <is>
          <t>人员/供应商/服务方</t>
        </is>
      </c>
      <c r="H1" s="4" t="inlineStr">
        <is>
          <t>原始单据编号</t>
        </is>
      </c>
      <c r="I1" s="4" t="inlineStr">
        <is>
          <t>关联专题编号</t>
        </is>
      </c>
      <c r="J1" s="4" t="inlineStr">
        <is>
          <t>研发关联性说明</t>
        </is>
      </c>
    </row>
    <row r="2">
      <c r="A2" s="8" t="inlineStr">
        <is>
          <t>2025-03-31</t>
        </is>
      </c>
      <c r="B2" s="8" t="inlineStr">
        <is>
          <t>记207</t>
        </is>
      </c>
      <c r="C2" s="5" t="inlineStr">
        <is>
          <t>计提2025年1-3月项目研发人员工资及社保</t>
        </is>
      </c>
      <c r="D2" s="8" t="inlineStr">
        <is>
          <t>人员人工-工资薪金</t>
        </is>
      </c>
      <c r="E2" s="6" t="n">
        <v>985200</v>
      </c>
      <c r="F2" s="6" t="n">
        <v>0</v>
      </c>
      <c r="G2" s="5" t="inlineStr">
        <is>
          <t>三公司项目研发组</t>
        </is>
      </c>
      <c r="H2" s="8" t="inlineStr">
        <is>
          <t>XYSP2025-00101</t>
        </is>
      </c>
      <c r="I2" s="8" t="inlineStr">
        <is>
          <t>专题一至专题六</t>
        </is>
      </c>
      <c r="J2" s="5" t="inlineStr">
        <is>
          <t>按月度工时分配表归集</t>
        </is>
      </c>
    </row>
    <row r="3">
      <c r="A3" s="8" t="inlineStr">
        <is>
          <t>2025-05-18</t>
        </is>
      </c>
      <c r="B3" s="8" t="inlineStr">
        <is>
          <t>记112</t>
        </is>
      </c>
      <c r="C3" s="5" t="inlineStr">
        <is>
          <t>支付钢管混凝土声学密实度试验构件加工费</t>
        </is>
      </c>
      <c r="D3" s="8" t="inlineStr">
        <is>
          <t>直接投入-材料加工</t>
        </is>
      </c>
      <c r="E3" s="6" t="n">
        <v>350000</v>
      </c>
      <c r="F3" s="6" t="n">
        <v>0</v>
      </c>
      <c r="G3" s="5" t="inlineStr">
        <is>
          <t>广州某试验构件有限公司</t>
        </is>
      </c>
      <c r="H3" s="8" t="inlineStr">
        <is>
          <t>XYSP2025-00214</t>
        </is>
      </c>
      <c r="I3" s="8" t="inlineStr">
        <is>
          <t>专题四</t>
        </is>
      </c>
      <c r="J3" s="5" t="inlineStr">
        <is>
          <t>超声采集试验实体加工</t>
        </is>
      </c>
    </row>
    <row r="4">
      <c r="A4" s="8" t="inlineStr">
        <is>
          <t>2025-07-22</t>
        </is>
      </c>
      <c r="B4" s="8" t="inlineStr">
        <is>
          <t>记85</t>
        </is>
      </c>
      <c r="C4" s="5" t="inlineStr">
        <is>
          <t>支付大跨度装配结构激光扫描与实测分析服务款</t>
        </is>
      </c>
      <c r="D4" s="8" t="inlineStr">
        <is>
          <t>直接投入-测试检测</t>
        </is>
      </c>
      <c r="E4" s="6" t="n">
        <v>185000</v>
      </c>
      <c r="F4" s="6" t="n">
        <v>0</v>
      </c>
      <c r="G4" s="5" t="inlineStr">
        <is>
          <t>深圳某测绘科技有限公司</t>
        </is>
      </c>
      <c r="H4" s="8" t="inlineStr">
        <is>
          <t>XYSP2025-00342</t>
        </is>
      </c>
      <c r="I4" s="8" t="inlineStr">
        <is>
          <t>专题一</t>
        </is>
      </c>
      <c r="J4" s="5" t="inlineStr">
        <is>
          <t>现场激光点云采集精度实测</t>
        </is>
      </c>
    </row>
    <row r="5">
      <c r="A5" s="8" t="inlineStr">
        <is>
          <t>2025-09-15</t>
        </is>
      </c>
      <c r="B5" s="8" t="inlineStr">
        <is>
          <t>记46</t>
        </is>
      </c>
      <c r="C5" s="5" t="inlineStr">
        <is>
          <t>支付地面平整度缺陷巡检专利代理费及官费</t>
        </is>
      </c>
      <c r="D5" s="8" t="inlineStr">
        <is>
          <t>其他费用-知识产权</t>
        </is>
      </c>
      <c r="E5" s="6" t="n">
        <v>15800</v>
      </c>
      <c r="F5" s="6" t="n">
        <v>0</v>
      </c>
      <c r="G5" s="5" t="inlineStr">
        <is>
          <t>北京某知识产权代理所</t>
        </is>
      </c>
      <c r="H5" s="8" t="inlineStr">
        <is>
          <t>XYSP2025-00455</t>
        </is>
      </c>
      <c r="I5" s="8" t="inlineStr">
        <is>
          <t>专题三</t>
        </is>
      </c>
      <c r="J5" s="5" t="inlineStr">
        <is>
          <t>ZL202510598192.9代理申报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2026-10-14T06:46:21Z</dcterms:created>
  <dcterms:modified xmlns:dcterms="http://purl.org/dc/terms/" xmlns:xsi="http://www.w3.org/2001/XMLSchema-instance" xsi:type="dcterms:W3CDTF">2026-10-14T06:46:21Z</dcterms:modified>
</cp:coreProperties>
</file>