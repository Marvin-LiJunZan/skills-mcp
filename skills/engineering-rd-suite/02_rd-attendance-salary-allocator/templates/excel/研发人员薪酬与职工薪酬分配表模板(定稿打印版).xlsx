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 activeTab="3"/>
  </bookViews>
  <sheets>
    <sheet name="202407月" sheetId="1" r:id="rId1"/>
    <sheet name="202407月考勤表" sheetId="2" r:id="rId2"/>
    <sheet name="202408月" sheetId="3" r:id="rId3"/>
    <sheet name="202408月考勤表" sheetId="4" r:id="rId4"/>
    <sheet name="202409月" sheetId="5" r:id="rId5"/>
    <sheet name="202409月考勤表" sheetId="6" r:id="rId6"/>
  </sheets>
  <definedNames>
    <definedName name="_xlnm.Print_Area" localSheetId="0">'202407月'!$A$1:$X$12</definedName>
    <definedName name="_xlnm.Print_Area" localSheetId="1">'202407月考勤表'!$A$1:$AI$16</definedName>
    <definedName name="_xlnm.Print_Area" localSheetId="2">'202408月'!$A$1:$X$13</definedName>
    <definedName name="_xlnm.Print_Area" localSheetId="3">'202408月考勤表'!$A$1:$AJ$18</definedName>
    <definedName name="_xlnm.Print_Area" localSheetId="4">'202409月'!$A$1:$X$12</definedName>
    <definedName name="_xlnm.Print_Area" localSheetId="5">'202409月考勤表'!$A$1:$AJ$16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<sst xmlns="http://schemas.openxmlformats.org/spreadsheetml/2006/main" count="361" uniqueCount="50">
  <si>
    <t>研发费用—职工薪酬分摊明细表</t>
  </si>
  <si>
    <t>项目名称：长距离轨行区智能管控关键技术与平台研究</t>
  </si>
  <si>
    <t>课题合同（项目）编号：</t>
  </si>
  <si>
    <t>21-B-02</t>
  </si>
  <si>
    <t>2024年7月（单位：元）</t>
  </si>
  <si>
    <t>序号</t>
  </si>
  <si>
    <t>姓名</t>
  </si>
  <si>
    <t>从事研发天数</t>
  </si>
  <si>
    <t>工时率</t>
  </si>
  <si>
    <t>管理费用</t>
  </si>
  <si>
    <t>计入课题的研发人员工资性费用</t>
  </si>
  <si>
    <t>1.应发工资</t>
  </si>
  <si>
    <t>2.社会保险费</t>
  </si>
  <si>
    <t>2.1基本养老</t>
  </si>
  <si>
    <t>2.2工伤</t>
  </si>
  <si>
    <t>2.3失业</t>
  </si>
  <si>
    <t>2.4基本医疗</t>
  </si>
  <si>
    <t>2.5大病医疗</t>
  </si>
  <si>
    <t>3.住房
公积金</t>
  </si>
  <si>
    <t>4.企业年金</t>
  </si>
  <si>
    <t>小计</t>
  </si>
  <si>
    <t>1.研发工资</t>
  </si>
  <si>
    <t>核对</t>
  </si>
  <si>
    <t>陈前</t>
  </si>
  <si>
    <t>梁家奇</t>
  </si>
  <si>
    <t>赵明明</t>
  </si>
  <si>
    <t>郭丹</t>
  </si>
  <si>
    <t>陈宪祖</t>
  </si>
  <si>
    <t>合计</t>
  </si>
  <si>
    <t>项目/课题负责人：</t>
  </si>
  <si>
    <t>科研管理部门业务审核：</t>
  </si>
  <si>
    <t>财务部门研发费用审核：</t>
  </si>
  <si>
    <t>课题财务助理：</t>
  </si>
  <si>
    <t>制表：</t>
  </si>
  <si>
    <t>中铁建华南建设有限公司研发人员科研工时安排表</t>
  </si>
  <si>
    <t>研发项目名称：长距离轨行区智能管控关键技术与平台研究</t>
  </si>
  <si>
    <t>合同编号：</t>
  </si>
  <si>
    <t>日期</t>
  </si>
  <si>
    <t>2024年7月份科研工时安排（6月21日—7月20日）</t>
  </si>
  <si>
    <t>出勤
天数</t>
  </si>
  <si>
    <t>工时
率</t>
  </si>
  <si>
    <t>出勤</t>
  </si>
  <si>
    <t>/</t>
  </si>
  <si>
    <t>科研</t>
  </si>
  <si>
    <t>说明：出勤栏8表示日历应出勤，/表示休息，—表示国家法定假日；科研栏数字表示科研小时数。</t>
  </si>
  <si>
    <t>2024年8月（单位：元）</t>
  </si>
  <si>
    <t>陈凯丽</t>
  </si>
  <si>
    <t>2024年8月份科研工时安排（7月21日—8月20日）</t>
  </si>
  <si>
    <t>2024年9月（单位：元）</t>
  </si>
  <si>
    <t>2024年9月份科研工时安排（8月21日—9月20日）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</si>
</sst>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sz val="20"/>
      <name val="宋体"/>
      <charset val="134"/>
    </font>
    <font>
      <sz val="10"/>
      <name val="宋体"/>
      <charset val="134"/>
    </font>
    <font>
      <sz val="22"/>
      <name val="宋体"/>
      <charset val="134"/>
    </font>
    <font>
      <b/>
      <sz val="1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13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2" borderId="0" xfId="49" applyNumberFormat="1" applyFont="1" applyFill="1" applyBorder="1" applyAlignment="1">
      <alignment horizontal="left" vertical="center"/>
    </xf>
    <xf numFmtId="0" fontId="2" fillId="2" borderId="1" xfId="49" applyNumberFormat="1" applyFont="1" applyFill="1" applyBorder="1" applyAlignment="1">
      <alignment horizontal="center" vertical="center" wrapText="1"/>
    </xf>
    <xf numFmtId="0" fontId="2" fillId="2" borderId="1" xfId="49" applyNumberFormat="1" applyFont="1" applyFill="1" applyBorder="1" applyAlignment="1">
      <alignment horizontal="center" vertical="center"/>
    </xf>
    <xf numFmtId="0" fontId="2" fillId="2" borderId="0" xfId="49" applyNumberFormat="1" applyFont="1" applyFill="1" applyBorder="1" applyAlignment="1">
      <alignment horizontal="center" vertical="center"/>
    </xf>
    <xf numFmtId="2" fontId="2" fillId="2" borderId="1" xfId="49" applyNumberFormat="1" applyFont="1" applyFill="1" applyBorder="1" applyAlignment="1">
      <alignment horizontal="center" vertical="center"/>
    </xf>
    <xf numFmtId="0" fontId="3" fillId="2" borderId="0" xfId="49" applyNumberFormat="1" applyFont="1" applyFill="1" applyBorder="1" applyAlignment="1">
      <alignment horizontal="center" vertical="center"/>
    </xf>
    <xf numFmtId="4" fontId="2" fillId="2" borderId="1" xfId="49" applyNumberFormat="1" applyFont="1" applyFill="1" applyBorder="1" applyAlignment="1">
      <alignment horizontal="right" vertical="center"/>
    </xf>
    <xf numFmtId="0" fontId="4" fillId="2" borderId="1" xfId="49" applyNumberFormat="1" applyFont="1" applyFill="1" applyBorder="1" applyAlignment="1">
      <alignment horizontal="center" vertical="center"/>
    </xf>
    <xf numFmtId="2" fontId="4" fillId="2" borderId="1" xfId="49" applyNumberFormat="1" applyFont="1" applyFill="1" applyBorder="1" applyAlignment="1">
      <alignment horizontal="center" vertical="center"/>
    </xf>
    <xf numFmtId="4" fontId="4" fillId="2" borderId="1" xfId="49" applyNumberFormat="1" applyFont="1" applyFill="1" applyBorder="1" applyAlignment="1">
      <alignment horizontal="right" vertical="center"/>
    </xf>
    <xf numFmtId="4" fontId="2" fillId="2" borderId="0" xfId="49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A12"/>
  <sheetViews>
    <sheetView showGridLines="0" zoomScale="85" zoomScaleNormal="85" workbookViewId="0">
      <selection activeCell="M2" sqref="M2:O2"/>
    </sheetView>
  </sheetViews>
  <sheetFormatPr defaultColWidth="9" defaultRowHeight="13.5"/>
  <cols>
    <col min="1" max="1" width="3.08333333333333" customWidth="1"/>
    <col min="2" max="2" width="7" customWidth="1"/>
    <col min="3" max="3" width="7.44166666666667" customWidth="1"/>
    <col min="4" max="4" width="6.13333333333333" customWidth="1"/>
    <col min="5" max="5" width="10.075" customWidth="1"/>
    <col min="6" max="6" width="9.19166666666667" customWidth="1"/>
    <col min="7" max="7" width="8.94166666666667" customWidth="1"/>
    <col min="8" max="8" width="8.125" customWidth="1"/>
    <col min="9" max="9" width="7.875" customWidth="1"/>
    <col min="10" max="10" width="9.31666666666667" customWidth="1"/>
    <col min="11" max="11" width="7.25833333333333" customWidth="1"/>
    <col min="12" max="12" width="9.13333333333333" customWidth="1"/>
    <col min="13" max="13" width="7.38333333333333" customWidth="1"/>
    <col min="14" max="14" width="10.1333333333333" customWidth="1"/>
    <col min="15" max="15" width="9.94166666666667" customWidth="1"/>
    <col min="16" max="16" width="8.88333333333333" customWidth="1"/>
    <col min="17" max="17" width="9.13333333333333" customWidth="1"/>
    <col min="18" max="18" width="8.19166666666667" customWidth="1"/>
    <col min="19" max="19" width="8.38333333333333" customWidth="1"/>
    <col min="20" max="20" width="8.56666666666667" customWidth="1"/>
    <col min="21" max="21" width="7.88333333333333" customWidth="1"/>
    <col min="22" max="22" width="9.25833333333333" customWidth="1"/>
    <col min="23" max="23" width="7.38333333333333" customWidth="1"/>
    <col min="24" max="24" width="8.94166666666667" customWidth="1"/>
    <col min="25" max="25" width="9.25" customWidth="1"/>
    <col min="26" max="26" width="9" customWidth="1"/>
    <col min="27" max="27" width="6.58333333333333" customWidth="1"/>
  </cols>
  <sheetData>
    <row r="1" ht="51" customHeight="1" spans="1:27">
      <c r="A1" s="5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5"/>
      <c r="Z1" s="5"/>
      <c r="AA1" s="5"/>
    </row>
    <row r="2" ht="27" customHeight="1" spans="1:27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5" t="s">
        <v>2</v>
      </c>
      <c r="N2" s="5"/>
      <c r="O2" s="5"/>
      <c r="P2" s="5" t="s">
        <v>3</v>
      </c>
      <c r="Q2" s="5"/>
      <c r="R2" s="5"/>
      <c r="S2" s="5"/>
      <c r="T2" s="5"/>
      <c r="U2" s="5"/>
      <c r="V2" s="5" t="s">
        <v>4</v>
      </c>
      <c r="W2" s="5"/>
      <c r="X2" s="5"/>
      <c r="Y2" s="5"/>
      <c r="Z2" s="5"/>
      <c r="AA2" s="5"/>
    </row>
    <row r="3" ht="38" customHeight="1" spans="1:27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/>
      <c r="G3" s="3"/>
      <c r="H3" s="3"/>
      <c r="I3" s="3"/>
      <c r="J3" s="3"/>
      <c r="K3" s="3"/>
      <c r="L3" s="3"/>
      <c r="M3" s="3"/>
      <c r="N3" s="3"/>
      <c r="O3" s="3" t="s">
        <v>10</v>
      </c>
      <c r="P3" s="3"/>
      <c r="Q3" s="3"/>
      <c r="R3" s="3"/>
      <c r="S3" s="3"/>
      <c r="T3" s="3"/>
      <c r="U3" s="3"/>
      <c r="V3" s="3"/>
      <c r="W3" s="3"/>
      <c r="X3" s="3"/>
      <c r="Y3" s="5"/>
      <c r="Z3" s="5"/>
      <c r="AA3" s="5"/>
    </row>
    <row r="4" ht="38" customHeight="1" spans="1:27">
      <c r="A4" s="3"/>
      <c r="B4" s="3"/>
      <c r="C4" s="3"/>
      <c r="D4" s="3"/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 t="s">
        <v>12</v>
      </c>
      <c r="Q4" s="3" t="s">
        <v>13</v>
      </c>
      <c r="R4" s="3" t="s">
        <v>14</v>
      </c>
      <c r="S4" s="3" t="s">
        <v>15</v>
      </c>
      <c r="T4" s="3" t="s">
        <v>16</v>
      </c>
      <c r="U4" s="3" t="s">
        <v>17</v>
      </c>
      <c r="V4" s="3" t="s">
        <v>18</v>
      </c>
      <c r="W4" s="3" t="s">
        <v>19</v>
      </c>
      <c r="X4" s="3" t="s">
        <v>20</v>
      </c>
      <c r="Y4" s="5"/>
      <c r="Z4" s="5" t="s">
        <v>22</v>
      </c>
      <c r="AA4" s="5"/>
    </row>
    <row r="5" ht="24" customHeight="1" spans="1:27">
      <c r="A5" s="4">
        <v>1</v>
      </c>
      <c r="B5" s="4" t="s">
        <v>23</v>
      </c>
      <c r="C5" s="6">
        <f>'202407月考勤表'!AH6</f>
        <v>5.25</v>
      </c>
      <c r="D5" s="6">
        <f>'202407月考勤表'!AI6</f>
        <v>0.25</v>
      </c>
      <c r="E5" s="8">
        <v>33230</v>
      </c>
      <c r="F5" s="8">
        <v>6281.46</v>
      </c>
      <c r="G5" s="8">
        <v>3963.15</v>
      </c>
      <c r="H5" s="8">
        <v>409.77</v>
      </c>
      <c r="I5" s="8">
        <v>304.66</v>
      </c>
      <c r="J5" s="8">
        <v>1603.88</v>
      </c>
      <c r="K5" s="8">
        <v>0</v>
      </c>
      <c r="L5" s="8">
        <v>4083</v>
      </c>
      <c r="M5" s="8"/>
      <c r="N5" s="8">
        <f>SUM(E5,F5,L5,M5)</f>
        <v>43594.46</v>
      </c>
      <c r="O5" s="8">
        <f>E5*$D5</f>
        <v>8307.5</v>
      </c>
      <c r="P5" s="8">
        <f>F5*$D5</f>
        <v>1570.365</v>
      </c>
      <c r="Q5" s="8">
        <f>G5*$D5</f>
        <v>990.7875</v>
      </c>
      <c r="R5" s="8">
        <f>H5*$D5</f>
        <v>102.4425</v>
      </c>
      <c r="S5" s="8">
        <f>I5*$D5</f>
        <v>76.165</v>
      </c>
      <c r="T5" s="8">
        <f>J5*$D5</f>
        <v>400.97</v>
      </c>
      <c r="U5" s="8">
        <f>K5*$D5</f>
        <v>0</v>
      </c>
      <c r="V5" s="8">
        <f>L5*$D5</f>
        <v>1020.75</v>
      </c>
      <c r="W5" s="8" t="str">
        <f>IF(M5="","",M5*$D5)</f>
        <v/>
      </c>
      <c r="X5" s="8">
        <f>SUM(O5,P5,V5,W5)</f>
        <v>10898.615</v>
      </c>
      <c r="Y5" s="12"/>
      <c r="Z5" s="12">
        <f>SUM(O5,P5,V5,W5)</f>
        <v>10898.615</v>
      </c>
      <c r="AA5" s="12">
        <f>ROUND(Z5-X5,2)</f>
        <v>0</v>
      </c>
    </row>
    <row r="6" ht="24" customHeight="1" spans="1:27">
      <c r="A6" s="4">
        <v>2</v>
      </c>
      <c r="B6" s="4" t="s">
        <v>24</v>
      </c>
      <c r="C6" s="6">
        <f>'202407月考勤表'!AH8</f>
        <v>5.25</v>
      </c>
      <c r="D6" s="6">
        <f>'202407月考勤表'!AI8</f>
        <v>0.25</v>
      </c>
      <c r="E6" s="8">
        <v>27920</v>
      </c>
      <c r="F6" s="8">
        <v>5278.57</v>
      </c>
      <c r="G6" s="8">
        <v>3574.65</v>
      </c>
      <c r="H6" s="8">
        <v>238.31</v>
      </c>
      <c r="I6" s="8">
        <v>190.65</v>
      </c>
      <c r="J6" s="8">
        <v>1274.96</v>
      </c>
      <c r="K6" s="8">
        <v>0</v>
      </c>
      <c r="L6" s="8">
        <v>3222</v>
      </c>
      <c r="M6" s="8"/>
      <c r="N6" s="8">
        <f>SUM(E6,F6,L6,M6)</f>
        <v>36420.57</v>
      </c>
      <c r="O6" s="8">
        <f>E6*$D6</f>
        <v>6980</v>
      </c>
      <c r="P6" s="8">
        <f>F6*$D6</f>
        <v>1319.6425</v>
      </c>
      <c r="Q6" s="8">
        <f>G6*$D6</f>
        <v>893.6625</v>
      </c>
      <c r="R6" s="8">
        <f>H6*$D6</f>
        <v>59.5775</v>
      </c>
      <c r="S6" s="8">
        <f>I6*$D6</f>
        <v>47.6625</v>
      </c>
      <c r="T6" s="8">
        <f>J6*$D6</f>
        <v>318.74</v>
      </c>
      <c r="U6" s="8">
        <f>K6*$D6</f>
        <v>0</v>
      </c>
      <c r="V6" s="8">
        <f>L6*$D6</f>
        <v>805.5</v>
      </c>
      <c r="W6" s="8" t="str">
        <f>IF(M6="","",M6*$D6)</f>
        <v/>
      </c>
      <c r="X6" s="8">
        <f>SUM(O6,P6,V6,W6)</f>
        <v>9105.1425</v>
      </c>
      <c r="Y6" s="12"/>
      <c r="Z6" s="12">
        <f>SUM(O6,P6,V6,W6)</f>
        <v>9105.1425</v>
      </c>
      <c r="AA6" s="12">
        <f>ROUND(Z6-X6,2)</f>
        <v>0</v>
      </c>
    </row>
    <row r="7" ht="24" customHeight="1" spans="1:27">
      <c r="A7" s="4">
        <v>3</v>
      </c>
      <c r="B7" s="4" t="s">
        <v>25</v>
      </c>
      <c r="C7" s="6">
        <f>'202407月考勤表'!AH10</f>
        <v>10.5</v>
      </c>
      <c r="D7" s="6">
        <f>'202407月考勤表'!AI10</f>
        <v>0.5</v>
      </c>
      <c r="E7" s="8">
        <v>24260</v>
      </c>
      <c r="F7" s="8">
        <v>6171.51</v>
      </c>
      <c r="G7" s="8">
        <v>3963.15</v>
      </c>
      <c r="H7" s="8">
        <v>335.82</v>
      </c>
      <c r="I7" s="8">
        <v>268.66</v>
      </c>
      <c r="J7" s="8">
        <v>1603.88</v>
      </c>
      <c r="K7" s="8">
        <v>0</v>
      </c>
      <c r="L7" s="8">
        <v>3715</v>
      </c>
      <c r="M7" s="8"/>
      <c r="N7" s="8">
        <f>SUM(E7,F7,L7,M7)</f>
        <v>34146.51</v>
      </c>
      <c r="O7" s="8">
        <f>E7*$D7</f>
        <v>12130</v>
      </c>
      <c r="P7" s="8">
        <f>F7*$D7</f>
        <v>3085.755</v>
      </c>
      <c r="Q7" s="8">
        <f>G7*$D7</f>
        <v>1981.575</v>
      </c>
      <c r="R7" s="8">
        <f>H7*$D7</f>
        <v>167.91</v>
      </c>
      <c r="S7" s="8">
        <f>I7*$D7</f>
        <v>134.33</v>
      </c>
      <c r="T7" s="8">
        <f>J7*$D7</f>
        <v>801.94</v>
      </c>
      <c r="U7" s="8">
        <f>K7*$D7</f>
        <v>0</v>
      </c>
      <c r="V7" s="8">
        <f>L7*$D7</f>
        <v>1857.5</v>
      </c>
      <c r="W7" s="8" t="str">
        <f>IF(M7="","",M7*$D7)</f>
        <v/>
      </c>
      <c r="X7" s="8">
        <f>SUM(O7,P7,V7,W7)</f>
        <v>17073.255</v>
      </c>
      <c r="Y7" s="12"/>
      <c r="Z7" s="12">
        <f>SUM(O7,P7,V7,W7)</f>
        <v>17073.255</v>
      </c>
      <c r="AA7" s="12">
        <f>ROUND(Z7-X7,2)</f>
        <v>0</v>
      </c>
    </row>
    <row r="8" ht="24" customHeight="1" spans="1:27">
      <c r="A8" s="4">
        <v>4</v>
      </c>
      <c r="B8" s="4" t="s">
        <v>26</v>
      </c>
      <c r="C8" s="6">
        <f>'202407月考勤表'!AH12</f>
        <v>2</v>
      </c>
      <c r="D8" s="6">
        <f>'202407月考勤表'!AI12</f>
        <v>0.0952380952380952</v>
      </c>
      <c r="E8" s="8">
        <v>30840</v>
      </c>
      <c r="F8" s="8">
        <v>6083.41</v>
      </c>
      <c r="G8" s="8">
        <v>3963.15</v>
      </c>
      <c r="H8" s="8">
        <v>296.54</v>
      </c>
      <c r="I8" s="8">
        <v>237.23</v>
      </c>
      <c r="J8" s="8">
        <v>1586.49</v>
      </c>
      <c r="K8" s="8">
        <v>0</v>
      </c>
      <c r="L8" s="8">
        <v>3912</v>
      </c>
      <c r="M8" s="8"/>
      <c r="N8" s="8">
        <f>SUM(E8,F8,L8,M8)</f>
        <v>40835.41</v>
      </c>
      <c r="O8" s="8">
        <f>E8*$D8</f>
        <v>2937.14285714286</v>
      </c>
      <c r="P8" s="8">
        <f>F8*$D8</f>
        <v>579.372380952381</v>
      </c>
      <c r="Q8" s="8">
        <f>G8*$D8</f>
        <v>377.442857142857</v>
      </c>
      <c r="R8" s="8">
        <f>H8*$D8</f>
        <v>28.2419047619048</v>
      </c>
      <c r="S8" s="8">
        <f>I8*$D8</f>
        <v>22.5933333333333</v>
      </c>
      <c r="T8" s="8">
        <f>J8*$D8</f>
        <v>151.094285714286</v>
      </c>
      <c r="U8" s="8">
        <f>K8*$D8</f>
        <v>0</v>
      </c>
      <c r="V8" s="8">
        <f>L8*$D8</f>
        <v>372.571428571429</v>
      </c>
      <c r="W8" s="8" t="str">
        <f>IF(M8="","",M8*$D8)</f>
        <v/>
      </c>
      <c r="X8" s="8">
        <f>SUM(O8,P8,V8,W8)</f>
        <v>3889.08666666667</v>
      </c>
      <c r="Y8" s="12"/>
      <c r="Z8" s="12">
        <f>SUM(O8,P8,V8,W8)</f>
        <v>3889.08666666667</v>
      </c>
      <c r="AA8" s="12">
        <f>ROUND(Z8-X8,2)</f>
        <v>0</v>
      </c>
    </row>
    <row r="9" ht="24" customHeight="1" spans="1:27">
      <c r="A9" s="4">
        <v>5</v>
      </c>
      <c r="B9" s="4" t="s">
        <v>27</v>
      </c>
      <c r="C9" s="6">
        <f>'202407月考勤表'!AH14</f>
        <v>2</v>
      </c>
      <c r="D9" s="6">
        <f>'202407月考勤表'!AI14</f>
        <v>0.0952380952380952</v>
      </c>
      <c r="E9" s="8">
        <v>32000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/>
      <c r="N9" s="8">
        <f>SUM(E9,F9,L9,M9)</f>
        <v>32000</v>
      </c>
      <c r="O9" s="8">
        <f>E9*$D9</f>
        <v>3047.61904761905</v>
      </c>
      <c r="P9" s="8">
        <f>F9*$D9</f>
        <v>0</v>
      </c>
      <c r="Q9" s="8">
        <f>G9*$D9</f>
        <v>0</v>
      </c>
      <c r="R9" s="8">
        <f>H9*$D9</f>
        <v>0</v>
      </c>
      <c r="S9" s="8">
        <f>I9*$D9</f>
        <v>0</v>
      </c>
      <c r="T9" s="8">
        <f>J9*$D9</f>
        <v>0</v>
      </c>
      <c r="U9" s="8">
        <f>K9*$D9</f>
        <v>0</v>
      </c>
      <c r="V9" s="8">
        <f>L9*$D9</f>
        <v>0</v>
      </c>
      <c r="W9" s="8" t="str">
        <f>IF(M9="","",M9*$D9)</f>
        <v/>
      </c>
      <c r="X9" s="8">
        <f>SUM(O9,P9,V9,W9)</f>
        <v>3047.61904761905</v>
      </c>
      <c r="Y9" s="12"/>
      <c r="Z9" s="12">
        <f>SUM(O9,P9,V9,W9)</f>
        <v>3047.61904761905</v>
      </c>
      <c r="AA9" s="12">
        <f>ROUND(Z9-X9,2)</f>
        <v>0</v>
      </c>
    </row>
    <row r="10" ht="24" customHeight="1" spans="1:27">
      <c r="A10" s="4"/>
      <c r="B10" s="9" t="s">
        <v>28</v>
      </c>
      <c r="C10" s="10">
        <f>SUM(C5:C9)</f>
        <v>25</v>
      </c>
      <c r="D10" s="10"/>
      <c r="E10" s="11">
        <f t="shared" ref="E10:W10" si="0">SUM(E5:E9)</f>
        <v>148250</v>
      </c>
      <c r="F10" s="11">
        <f t="shared" si="0"/>
        <v>23814.95</v>
      </c>
      <c r="G10" s="11">
        <f t="shared" si="0"/>
        <v>15464.1</v>
      </c>
      <c r="H10" s="11">
        <f t="shared" si="0"/>
        <v>1280.44</v>
      </c>
      <c r="I10" s="11">
        <f t="shared" si="0"/>
        <v>1001.2</v>
      </c>
      <c r="J10" s="11">
        <f t="shared" si="0"/>
        <v>6069.21</v>
      </c>
      <c r="K10" s="11">
        <f t="shared" si="0"/>
        <v>0</v>
      </c>
      <c r="L10" s="11">
        <f t="shared" si="0"/>
        <v>14932</v>
      </c>
      <c r="M10" s="11">
        <f t="shared" si="0"/>
        <v>0</v>
      </c>
      <c r="N10" s="11">
        <f t="shared" si="0"/>
        <v>186996.95</v>
      </c>
      <c r="O10" s="11">
        <f t="shared" si="0"/>
        <v>33402.2619047619</v>
      </c>
      <c r="P10" s="11">
        <f t="shared" si="0"/>
        <v>6555.13488095238</v>
      </c>
      <c r="Q10" s="11">
        <f t="shared" si="0"/>
        <v>4243.46785714286</v>
      </c>
      <c r="R10" s="11">
        <f t="shared" si="0"/>
        <v>358.171904761905</v>
      </c>
      <c r="S10" s="11">
        <f t="shared" si="0"/>
        <v>280.750833333333</v>
      </c>
      <c r="T10" s="11">
        <f t="shared" si="0"/>
        <v>1672.74428571429</v>
      </c>
      <c r="U10" s="11">
        <f t="shared" si="0"/>
        <v>0</v>
      </c>
      <c r="V10" s="11">
        <f t="shared" si="0"/>
        <v>4056.32142857143</v>
      </c>
      <c r="W10" s="11">
        <f t="shared" si="0"/>
        <v>0</v>
      </c>
      <c r="X10" s="11">
        <f>ROUND(SUM(X5:X9),2)+3359.11</f>
        <v>47372.83</v>
      </c>
      <c r="Y10" s="12"/>
      <c r="Z10" s="12">
        <f>SUM(Z5:Z9)</f>
        <v>44013.7182142857</v>
      </c>
      <c r="AA10" s="12">
        <f>ROUND(ROUND(Z10,2)+3359.11-X10,2)</f>
        <v>0</v>
      </c>
    </row>
    <row r="11" ht="15" customHeight="1" spans="1:27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5" customHeight="1" spans="1:27">
      <c r="A12" s="2"/>
      <c r="B12" s="2" t="s">
        <v>29</v>
      </c>
      <c r="C12" s="2"/>
      <c r="D12" s="2"/>
      <c r="E12" s="2"/>
      <c r="F12" s="2"/>
      <c r="G12" s="2"/>
      <c r="H12" s="2" t="s">
        <v>30</v>
      </c>
      <c r="I12" s="2"/>
      <c r="J12" s="2"/>
      <c r="K12" s="2"/>
      <c r="L12" s="2"/>
      <c r="M12" s="2" t="s">
        <v>31</v>
      </c>
      <c r="N12" s="2"/>
      <c r="O12" s="2"/>
      <c r="P12" s="2"/>
      <c r="Q12" s="2"/>
      <c r="R12" s="2" t="s">
        <v>32</v>
      </c>
      <c r="S12" s="2"/>
      <c r="T12" s="2"/>
      <c r="U12" s="2"/>
      <c r="V12" s="2" t="s">
        <v>33</v>
      </c>
      <c r="W12" s="2"/>
      <c r="X12" s="2"/>
      <c r="Y12" s="5"/>
      <c r="Z12" s="5"/>
      <c r="AA12" s="5"/>
    </row>
  </sheetData>
  <mergeCells count="10">
    <mergeCell ref="B1:X1"/>
    <mergeCell ref="A2:L2"/>
    <mergeCell ref="M2:O2"/>
    <mergeCell ref="V2:X2"/>
    <mergeCell ref="E3:N3"/>
    <mergeCell ref="O3:X3"/>
    <mergeCell ref="A3:A4"/>
    <mergeCell ref="B3:B4"/>
    <mergeCell ref="C3:C4"/>
    <mergeCell ref="D3:D4"/>
  </mergeCells>
  <pageMargins left="0.699305555555556" right="0.699305555555556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6"/>
  <sheetViews>
    <sheetView showGridLines="0" workbookViewId="0">
      <pane xSplit="3" ySplit="4" topLeftCell="D5" activePane="bottomRight" state="frozen"/>
      <selection/>
      <selection pane="topRight"/>
      <selection pane="bottomLeft"/>
      <selection pane="bottomRight" activeCell="A15" sqref="A15:AI15"/>
    </sheetView>
  </sheetViews>
  <sheetFormatPr defaultColWidth="9" defaultRowHeight="13.5"/>
  <cols>
    <col min="1" max="1" width="2.83333333333333" customWidth="1"/>
    <col min="2" max="2" width="6.33333333333333" customWidth="1"/>
    <col min="3" max="3" width="4.66666666666667" customWidth="1"/>
    <col min="4" max="33" width="3.5" customWidth="1"/>
    <col min="34" max="34" width="4.58333333333333" customWidth="1"/>
    <col min="35" max="35" width="5.41666666666667" customWidth="1"/>
  </cols>
  <sheetData>
    <row r="1" ht="25.1" customHeight="1" spans="1:35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5.75" customHeight="1" spans="1:35">
      <c r="A2" s="2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  <c r="S2" s="5"/>
      <c r="T2" s="5"/>
      <c r="U2" s="5"/>
      <c r="V2" s="5"/>
      <c r="W2" s="5"/>
      <c r="X2" s="5"/>
      <c r="Y2" s="5"/>
      <c r="Z2" s="5"/>
      <c r="AA2" s="5" t="s">
        <v>36</v>
      </c>
      <c r="AB2" s="5"/>
      <c r="AC2" s="5"/>
      <c r="AD2" s="5"/>
      <c r="AE2" s="5" t="s">
        <v>3</v>
      </c>
      <c r="AF2" s="5"/>
      <c r="AG2" s="5"/>
      <c r="AH2" s="5"/>
      <c r="AI2" s="5"/>
    </row>
    <row r="3" ht="15.75" customHeight="1" spans="1:35">
      <c r="A3" s="3" t="s">
        <v>5</v>
      </c>
      <c r="B3" s="3" t="s">
        <v>6</v>
      </c>
      <c r="C3" s="3" t="s">
        <v>37</v>
      </c>
      <c r="D3" s="3" t="s">
        <v>38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 t="s">
        <v>39</v>
      </c>
      <c r="AI3" s="3" t="s">
        <v>40</v>
      </c>
    </row>
    <row r="4" ht="15.75" customHeight="1" spans="1:35">
      <c r="A4" s="3"/>
      <c r="B4" s="3"/>
      <c r="C4" s="3"/>
      <c r="D4" s="3">
        <v>21</v>
      </c>
      <c r="E4" s="3">
        <v>22</v>
      </c>
      <c r="F4" s="3">
        <v>23</v>
      </c>
      <c r="G4" s="3">
        <v>24</v>
      </c>
      <c r="H4" s="3">
        <v>25</v>
      </c>
      <c r="I4" s="3">
        <v>26</v>
      </c>
      <c r="J4" s="3">
        <v>27</v>
      </c>
      <c r="K4" s="3">
        <v>28</v>
      </c>
      <c r="L4" s="3">
        <v>29</v>
      </c>
      <c r="M4" s="3">
        <v>30</v>
      </c>
      <c r="N4" s="3">
        <v>1</v>
      </c>
      <c r="O4" s="3">
        <v>2</v>
      </c>
      <c r="P4" s="3">
        <v>3</v>
      </c>
      <c r="Q4" s="3">
        <v>4</v>
      </c>
      <c r="R4" s="3">
        <v>5</v>
      </c>
      <c r="S4" s="3">
        <v>6</v>
      </c>
      <c r="T4" s="3">
        <v>7</v>
      </c>
      <c r="U4" s="3">
        <v>8</v>
      </c>
      <c r="V4" s="3">
        <v>9</v>
      </c>
      <c r="W4" s="3">
        <v>10</v>
      </c>
      <c r="X4" s="3">
        <v>11</v>
      </c>
      <c r="Y4" s="3">
        <v>12</v>
      </c>
      <c r="Z4" s="3">
        <v>13</v>
      </c>
      <c r="AA4" s="3">
        <v>14</v>
      </c>
      <c r="AB4" s="3">
        <v>15</v>
      </c>
      <c r="AC4" s="3">
        <v>16</v>
      </c>
      <c r="AD4" s="3">
        <v>17</v>
      </c>
      <c r="AE4" s="3">
        <v>18</v>
      </c>
      <c r="AF4" s="3">
        <v>19</v>
      </c>
      <c r="AG4" s="3">
        <v>20</v>
      </c>
      <c r="AH4" s="3"/>
      <c r="AI4" s="3"/>
    </row>
    <row r="5" ht="19" customHeight="1" spans="1:35">
      <c r="A5" s="4">
        <v>1</v>
      </c>
      <c r="B5" s="4" t="s">
        <v>23</v>
      </c>
      <c r="C5" s="4" t="s">
        <v>41</v>
      </c>
      <c r="D5" s="4">
        <v>8</v>
      </c>
      <c r="E5" s="4" t="s">
        <v>42</v>
      </c>
      <c r="F5" s="4" t="s">
        <v>42</v>
      </c>
      <c r="G5" s="4">
        <v>8</v>
      </c>
      <c r="H5" s="4">
        <v>8</v>
      </c>
      <c r="I5" s="4">
        <v>8</v>
      </c>
      <c r="J5" s="4">
        <v>8</v>
      </c>
      <c r="K5" s="4">
        <v>8</v>
      </c>
      <c r="L5" s="4" t="s">
        <v>42</v>
      </c>
      <c r="M5" s="4" t="s">
        <v>42</v>
      </c>
      <c r="N5" s="4">
        <v>8</v>
      </c>
      <c r="O5" s="4">
        <v>8</v>
      </c>
      <c r="P5" s="4">
        <v>8</v>
      </c>
      <c r="Q5" s="4">
        <v>8</v>
      </c>
      <c r="R5" s="4">
        <v>8</v>
      </c>
      <c r="S5" s="4" t="s">
        <v>42</v>
      </c>
      <c r="T5" s="4" t="s">
        <v>42</v>
      </c>
      <c r="U5" s="4">
        <v>8</v>
      </c>
      <c r="V5" s="4">
        <v>8</v>
      </c>
      <c r="W5" s="4">
        <v>8</v>
      </c>
      <c r="X5" s="4">
        <v>8</v>
      </c>
      <c r="Y5" s="4">
        <v>8</v>
      </c>
      <c r="Z5" s="4" t="s">
        <v>42</v>
      </c>
      <c r="AA5" s="4" t="s">
        <v>42</v>
      </c>
      <c r="AB5" s="4">
        <v>8</v>
      </c>
      <c r="AC5" s="4">
        <v>8</v>
      </c>
      <c r="AD5" s="4">
        <v>8</v>
      </c>
      <c r="AE5" s="4">
        <v>8</v>
      </c>
      <c r="AF5" s="4">
        <v>8</v>
      </c>
      <c r="AG5" s="4" t="s">
        <v>42</v>
      </c>
      <c r="AH5" s="4">
        <f>COUNT(D5:AG5)</f>
        <v>21</v>
      </c>
      <c r="AI5" s="6"/>
    </row>
    <row r="6" ht="19" customHeight="1" spans="1:35">
      <c r="A6" s="4"/>
      <c r="B6" s="4"/>
      <c r="C6" s="4" t="s">
        <v>43</v>
      </c>
      <c r="D6" s="4"/>
      <c r="E6" s="4"/>
      <c r="F6" s="4"/>
      <c r="G6" s="4"/>
      <c r="H6" s="4">
        <v>8</v>
      </c>
      <c r="I6" s="4">
        <v>8</v>
      </c>
      <c r="J6" s="4">
        <v>8</v>
      </c>
      <c r="K6" s="4">
        <v>8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>
        <v>8</v>
      </c>
      <c r="AC6" s="4">
        <v>2</v>
      </c>
      <c r="AD6" s="4"/>
      <c r="AE6" s="4"/>
      <c r="AF6" s="4"/>
      <c r="AG6" s="4"/>
      <c r="AH6" s="4">
        <f>SUM(D6:AG6)/8</f>
        <v>5.25</v>
      </c>
      <c r="AI6" s="6">
        <f>AH6/AH5</f>
        <v>0.25</v>
      </c>
    </row>
    <row r="7" ht="19" customHeight="1" spans="1:35">
      <c r="A7" s="4">
        <v>2</v>
      </c>
      <c r="B7" s="4" t="s">
        <v>24</v>
      </c>
      <c r="C7" s="4" t="s">
        <v>41</v>
      </c>
      <c r="D7" s="4">
        <v>8</v>
      </c>
      <c r="E7" s="4" t="s">
        <v>42</v>
      </c>
      <c r="F7" s="4" t="s">
        <v>42</v>
      </c>
      <c r="G7" s="4">
        <v>8</v>
      </c>
      <c r="H7" s="4">
        <v>8</v>
      </c>
      <c r="I7" s="4">
        <v>8</v>
      </c>
      <c r="J7" s="4">
        <v>8</v>
      </c>
      <c r="K7" s="4">
        <v>8</v>
      </c>
      <c r="L7" s="4" t="s">
        <v>42</v>
      </c>
      <c r="M7" s="4" t="s">
        <v>42</v>
      </c>
      <c r="N7" s="4">
        <v>8</v>
      </c>
      <c r="O7" s="4">
        <v>8</v>
      </c>
      <c r="P7" s="4">
        <v>8</v>
      </c>
      <c r="Q7" s="4">
        <v>8</v>
      </c>
      <c r="R7" s="4">
        <v>8</v>
      </c>
      <c r="S7" s="4" t="s">
        <v>42</v>
      </c>
      <c r="T7" s="4" t="s">
        <v>42</v>
      </c>
      <c r="U7" s="4">
        <v>8</v>
      </c>
      <c r="V7" s="4">
        <v>8</v>
      </c>
      <c r="W7" s="4">
        <v>8</v>
      </c>
      <c r="X7" s="4">
        <v>8</v>
      </c>
      <c r="Y7" s="4">
        <v>8</v>
      </c>
      <c r="Z7" s="4" t="s">
        <v>42</v>
      </c>
      <c r="AA7" s="4" t="s">
        <v>42</v>
      </c>
      <c r="AB7" s="4">
        <v>8</v>
      </c>
      <c r="AC7" s="4">
        <v>8</v>
      </c>
      <c r="AD7" s="4">
        <v>8</v>
      </c>
      <c r="AE7" s="4">
        <v>8</v>
      </c>
      <c r="AF7" s="4">
        <v>8</v>
      </c>
      <c r="AG7" s="4" t="s">
        <v>42</v>
      </c>
      <c r="AH7" s="4">
        <f>COUNT(D7:AG7)</f>
        <v>21</v>
      </c>
      <c r="AI7" s="6"/>
    </row>
    <row r="8" ht="19" customHeight="1" spans="1:35">
      <c r="A8" s="4"/>
      <c r="B8" s="4"/>
      <c r="C8" s="4" t="s">
        <v>43</v>
      </c>
      <c r="D8" s="4"/>
      <c r="E8" s="4"/>
      <c r="F8" s="4"/>
      <c r="G8" s="4"/>
      <c r="H8" s="4">
        <v>8</v>
      </c>
      <c r="I8" s="4">
        <v>8</v>
      </c>
      <c r="J8" s="4">
        <v>8</v>
      </c>
      <c r="K8" s="4">
        <v>8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>
        <v>8</v>
      </c>
      <c r="AC8" s="4">
        <v>2</v>
      </c>
      <c r="AD8" s="4"/>
      <c r="AE8" s="4"/>
      <c r="AF8" s="4"/>
      <c r="AG8" s="4"/>
      <c r="AH8" s="4">
        <f>SUM(D8:AG8)/8</f>
        <v>5.25</v>
      </c>
      <c r="AI8" s="6">
        <f>AH8/AH7</f>
        <v>0.25</v>
      </c>
    </row>
    <row r="9" ht="19" customHeight="1" spans="1:35">
      <c r="A9" s="4">
        <v>3</v>
      </c>
      <c r="B9" s="4" t="s">
        <v>25</v>
      </c>
      <c r="C9" s="4" t="s">
        <v>41</v>
      </c>
      <c r="D9" s="4">
        <v>8</v>
      </c>
      <c r="E9" s="4" t="s">
        <v>42</v>
      </c>
      <c r="F9" s="4" t="s">
        <v>42</v>
      </c>
      <c r="G9" s="4">
        <v>8</v>
      </c>
      <c r="H9" s="4">
        <v>8</v>
      </c>
      <c r="I9" s="4">
        <v>8</v>
      </c>
      <c r="J9" s="4">
        <v>8</v>
      </c>
      <c r="K9" s="4">
        <v>8</v>
      </c>
      <c r="L9" s="4" t="s">
        <v>42</v>
      </c>
      <c r="M9" s="4" t="s">
        <v>42</v>
      </c>
      <c r="N9" s="4">
        <v>8</v>
      </c>
      <c r="O9" s="4">
        <v>8</v>
      </c>
      <c r="P9" s="4">
        <v>8</v>
      </c>
      <c r="Q9" s="4">
        <v>8</v>
      </c>
      <c r="R9" s="4">
        <v>8</v>
      </c>
      <c r="S9" s="4" t="s">
        <v>42</v>
      </c>
      <c r="T9" s="4" t="s">
        <v>42</v>
      </c>
      <c r="U9" s="4">
        <v>8</v>
      </c>
      <c r="V9" s="4">
        <v>8</v>
      </c>
      <c r="W9" s="4">
        <v>8</v>
      </c>
      <c r="X9" s="4">
        <v>8</v>
      </c>
      <c r="Y9" s="4">
        <v>8</v>
      </c>
      <c r="Z9" s="4" t="s">
        <v>42</v>
      </c>
      <c r="AA9" s="4" t="s">
        <v>42</v>
      </c>
      <c r="AB9" s="4">
        <v>8</v>
      </c>
      <c r="AC9" s="4">
        <v>8</v>
      </c>
      <c r="AD9" s="4">
        <v>8</v>
      </c>
      <c r="AE9" s="4">
        <v>8</v>
      </c>
      <c r="AF9" s="4">
        <v>8</v>
      </c>
      <c r="AG9" s="4" t="s">
        <v>42</v>
      </c>
      <c r="AH9" s="4">
        <f>COUNT(D9:AG9)</f>
        <v>21</v>
      </c>
      <c r="AI9" s="6"/>
    </row>
    <row r="10" ht="19" customHeight="1" spans="1:35">
      <c r="A10" s="4"/>
      <c r="B10" s="4"/>
      <c r="C10" s="4" t="s">
        <v>43</v>
      </c>
      <c r="D10" s="4"/>
      <c r="E10" s="4"/>
      <c r="F10" s="4"/>
      <c r="G10" s="4"/>
      <c r="H10" s="4">
        <v>8</v>
      </c>
      <c r="I10" s="4">
        <v>8</v>
      </c>
      <c r="J10" s="4">
        <v>8</v>
      </c>
      <c r="K10" s="4">
        <v>8</v>
      </c>
      <c r="L10" s="4"/>
      <c r="M10" s="4"/>
      <c r="N10" s="4"/>
      <c r="O10" s="4">
        <v>8</v>
      </c>
      <c r="P10" s="4"/>
      <c r="Q10" s="4">
        <v>8</v>
      </c>
      <c r="R10" s="4">
        <v>8</v>
      </c>
      <c r="S10" s="4"/>
      <c r="T10" s="4"/>
      <c r="U10" s="4"/>
      <c r="V10" s="4"/>
      <c r="W10" s="4">
        <v>8</v>
      </c>
      <c r="X10" s="4">
        <v>8</v>
      </c>
      <c r="Y10" s="4"/>
      <c r="Z10" s="4"/>
      <c r="AA10" s="4"/>
      <c r="AB10" s="4">
        <v>8</v>
      </c>
      <c r="AC10" s="4"/>
      <c r="AD10" s="4">
        <v>4</v>
      </c>
      <c r="AE10" s="4"/>
      <c r="AF10" s="4"/>
      <c r="AG10" s="4"/>
      <c r="AH10" s="4">
        <f>SUM(D10:AG10)/8</f>
        <v>10.5</v>
      </c>
      <c r="AI10" s="6">
        <f>AH10/AH9</f>
        <v>0.5</v>
      </c>
    </row>
    <row r="11" ht="19" customHeight="1" spans="1:35">
      <c r="A11" s="4">
        <v>4</v>
      </c>
      <c r="B11" s="4" t="s">
        <v>26</v>
      </c>
      <c r="C11" s="4" t="s">
        <v>41</v>
      </c>
      <c r="D11" s="4">
        <v>8</v>
      </c>
      <c r="E11" s="4" t="s">
        <v>42</v>
      </c>
      <c r="F11" s="4" t="s">
        <v>42</v>
      </c>
      <c r="G11" s="4">
        <v>8</v>
      </c>
      <c r="H11" s="4">
        <v>8</v>
      </c>
      <c r="I11" s="4">
        <v>8</v>
      </c>
      <c r="J11" s="4">
        <v>8</v>
      </c>
      <c r="K11" s="4">
        <v>8</v>
      </c>
      <c r="L11" s="4" t="s">
        <v>42</v>
      </c>
      <c r="M11" s="4" t="s">
        <v>42</v>
      </c>
      <c r="N11" s="4">
        <v>8</v>
      </c>
      <c r="O11" s="4">
        <v>8</v>
      </c>
      <c r="P11" s="4">
        <v>8</v>
      </c>
      <c r="Q11" s="4">
        <v>8</v>
      </c>
      <c r="R11" s="4">
        <v>8</v>
      </c>
      <c r="S11" s="4" t="s">
        <v>42</v>
      </c>
      <c r="T11" s="4" t="s">
        <v>42</v>
      </c>
      <c r="U11" s="4">
        <v>8</v>
      </c>
      <c r="V11" s="4">
        <v>8</v>
      </c>
      <c r="W11" s="4">
        <v>8</v>
      </c>
      <c r="X11" s="4">
        <v>8</v>
      </c>
      <c r="Y11" s="4">
        <v>8</v>
      </c>
      <c r="Z11" s="4" t="s">
        <v>42</v>
      </c>
      <c r="AA11" s="4" t="s">
        <v>42</v>
      </c>
      <c r="AB11" s="4">
        <v>8</v>
      </c>
      <c r="AC11" s="4">
        <v>8</v>
      </c>
      <c r="AD11" s="4">
        <v>8</v>
      </c>
      <c r="AE11" s="4">
        <v>8</v>
      </c>
      <c r="AF11" s="4">
        <v>8</v>
      </c>
      <c r="AG11" s="4" t="s">
        <v>42</v>
      </c>
      <c r="AH11" s="4">
        <f>COUNT(D11:AG11)</f>
        <v>21</v>
      </c>
      <c r="AI11" s="6"/>
    </row>
    <row r="12" ht="19" customHeight="1" spans="1:35">
      <c r="A12" s="4"/>
      <c r="B12" s="4"/>
      <c r="C12" s="4" t="s">
        <v>43</v>
      </c>
      <c r="D12" s="4"/>
      <c r="E12" s="4"/>
      <c r="F12" s="4"/>
      <c r="G12" s="4"/>
      <c r="H12" s="4">
        <v>8</v>
      </c>
      <c r="I12" s="4">
        <v>4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>
        <v>4</v>
      </c>
      <c r="AC12" s="4"/>
      <c r="AD12" s="4"/>
      <c r="AE12" s="4"/>
      <c r="AF12" s="4"/>
      <c r="AG12" s="4"/>
      <c r="AH12" s="4">
        <f>SUM(D12:AG12)/8</f>
        <v>2</v>
      </c>
      <c r="AI12" s="6">
        <f>AH12/AH11</f>
        <v>0.0952380952380952</v>
      </c>
    </row>
    <row r="13" ht="19" customHeight="1" spans="1:35">
      <c r="A13" s="4">
        <v>5</v>
      </c>
      <c r="B13" s="4" t="s">
        <v>27</v>
      </c>
      <c r="C13" s="4" t="s">
        <v>41</v>
      </c>
      <c r="D13" s="4">
        <v>8</v>
      </c>
      <c r="E13" s="4" t="s">
        <v>42</v>
      </c>
      <c r="F13" s="4" t="s">
        <v>42</v>
      </c>
      <c r="G13" s="4">
        <v>8</v>
      </c>
      <c r="H13" s="4">
        <v>8</v>
      </c>
      <c r="I13" s="4">
        <v>8</v>
      </c>
      <c r="J13" s="4">
        <v>8</v>
      </c>
      <c r="K13" s="4">
        <v>8</v>
      </c>
      <c r="L13" s="4" t="s">
        <v>42</v>
      </c>
      <c r="M13" s="4" t="s">
        <v>42</v>
      </c>
      <c r="N13" s="4">
        <v>8</v>
      </c>
      <c r="O13" s="4">
        <v>8</v>
      </c>
      <c r="P13" s="4">
        <v>8</v>
      </c>
      <c r="Q13" s="4">
        <v>8</v>
      </c>
      <c r="R13" s="4">
        <v>8</v>
      </c>
      <c r="S13" s="4" t="s">
        <v>42</v>
      </c>
      <c r="T13" s="4" t="s">
        <v>42</v>
      </c>
      <c r="U13" s="4">
        <v>8</v>
      </c>
      <c r="V13" s="4">
        <v>8</v>
      </c>
      <c r="W13" s="4">
        <v>8</v>
      </c>
      <c r="X13" s="4">
        <v>8</v>
      </c>
      <c r="Y13" s="4">
        <v>8</v>
      </c>
      <c r="Z13" s="4" t="s">
        <v>42</v>
      </c>
      <c r="AA13" s="4" t="s">
        <v>42</v>
      </c>
      <c r="AB13" s="4">
        <v>8</v>
      </c>
      <c r="AC13" s="4">
        <v>8</v>
      </c>
      <c r="AD13" s="4">
        <v>8</v>
      </c>
      <c r="AE13" s="4">
        <v>8</v>
      </c>
      <c r="AF13" s="4">
        <v>8</v>
      </c>
      <c r="AG13" s="4" t="s">
        <v>42</v>
      </c>
      <c r="AH13" s="4">
        <f>COUNT(D13:AG13)</f>
        <v>21</v>
      </c>
      <c r="AI13" s="6"/>
    </row>
    <row r="14" ht="19" customHeight="1" spans="1:35">
      <c r="A14" s="4"/>
      <c r="B14" s="4"/>
      <c r="C14" s="4" t="s">
        <v>43</v>
      </c>
      <c r="D14" s="4"/>
      <c r="E14" s="4"/>
      <c r="F14" s="4"/>
      <c r="G14" s="4"/>
      <c r="H14" s="4"/>
      <c r="I14" s="4">
        <v>8</v>
      </c>
      <c r="J14" s="4">
        <v>8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>
        <f>SUM(D14:AG14)/8</f>
        <v>2</v>
      </c>
      <c r="AI14" s="6">
        <f>AH14/AH13</f>
        <v>0.0952380952380952</v>
      </c>
    </row>
    <row r="15" ht="27" customHeight="1" spans="1:35">
      <c r="A15" s="2" t="s">
        <v>44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ht="24" customHeight="1" spans="1:35">
      <c r="A16" s="2" t="s">
        <v>29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 t="s">
        <v>33</v>
      </c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</sheetData>
  <mergeCells count="22">
    <mergeCell ref="A1:AI1"/>
    <mergeCell ref="A2:Q2"/>
    <mergeCell ref="AA2:AD2"/>
    <mergeCell ref="AE2:AH2"/>
    <mergeCell ref="D3:AG3"/>
    <mergeCell ref="A15:AI15"/>
    <mergeCell ref="A16:E16"/>
    <mergeCell ref="A3:A4"/>
    <mergeCell ref="A5:A6"/>
    <mergeCell ref="A7:A8"/>
    <mergeCell ref="A9:A10"/>
    <mergeCell ref="A11:A12"/>
    <mergeCell ref="A13:A14"/>
    <mergeCell ref="B3:B4"/>
    <mergeCell ref="B5:B6"/>
    <mergeCell ref="B7:B8"/>
    <mergeCell ref="B9:B10"/>
    <mergeCell ref="B11:B12"/>
    <mergeCell ref="B13:B14"/>
    <mergeCell ref="C3:C4"/>
    <mergeCell ref="AH3:AH4"/>
    <mergeCell ref="AI3:AI4"/>
  </mergeCells>
  <dataValidations count="1">
    <dataValidation type="decimal" operator="between" sqref="D6:AG6 D8:AG8 D10:AG10 D12:AG12 D14:AG14">
      <formula1>0</formula1>
      <formula2>8</formula2>
    </dataValidation>
  </dataValidations>
  <pageMargins left="0.699305555555556" right="0.699305555555556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A13"/>
  <sheetViews>
    <sheetView showGridLines="0" workbookViewId="0">
      <selection activeCell="A11" sqref="$A11:$XFD13"/>
    </sheetView>
  </sheetViews>
  <sheetFormatPr defaultColWidth="9" defaultRowHeight="13.5"/>
  <cols>
    <col min="1" max="1" width="3.08333333333333" customWidth="1"/>
    <col min="2" max="2" width="7" customWidth="1"/>
    <col min="3" max="3" width="7.44166666666667" customWidth="1"/>
    <col min="4" max="4" width="6.13333333333333" customWidth="1"/>
    <col min="5" max="5" width="10.075" customWidth="1"/>
    <col min="6" max="6" width="9.19166666666667" customWidth="1"/>
    <col min="7" max="7" width="8.94166666666667" customWidth="1"/>
    <col min="8" max="8" width="8.125" customWidth="1"/>
    <col min="9" max="9" width="7.875" customWidth="1"/>
    <col min="10" max="10" width="9.31666666666667" customWidth="1"/>
    <col min="11" max="11" width="7.25833333333333" customWidth="1"/>
    <col min="12" max="12" width="9.13333333333333" customWidth="1"/>
    <col min="13" max="13" width="7.38333333333333" customWidth="1"/>
    <col min="14" max="14" width="10.1333333333333" customWidth="1"/>
    <col min="15" max="15" width="9.94166666666667" customWidth="1"/>
    <col min="16" max="16" width="8.88333333333333" customWidth="1"/>
    <col min="17" max="17" width="9.13333333333333" customWidth="1"/>
    <col min="18" max="18" width="8.19166666666667" customWidth="1"/>
    <col min="19" max="19" width="8.38333333333333" customWidth="1"/>
    <col min="20" max="20" width="8.56666666666667" customWidth="1"/>
    <col min="21" max="21" width="7.88333333333333" customWidth="1"/>
    <col min="22" max="22" width="9.25833333333333" customWidth="1"/>
    <col min="23" max="23" width="7.38333333333333" customWidth="1"/>
    <col min="24" max="24" width="8.94166666666667" customWidth="1"/>
    <col min="25" max="25" width="9.25" customWidth="1"/>
    <col min="26" max="26" width="9" customWidth="1"/>
    <col min="27" max="27" width="6.58333333333333" customWidth="1"/>
  </cols>
  <sheetData>
    <row r="1" ht="51" customHeight="1" spans="1:27">
      <c r="A1" s="5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5"/>
      <c r="Z1" s="5"/>
      <c r="AA1" s="5"/>
    </row>
    <row r="2" ht="27" customHeight="1" spans="1:27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5" t="s">
        <v>2</v>
      </c>
      <c r="N2" s="5"/>
      <c r="O2" s="5"/>
      <c r="P2" s="5" t="s">
        <v>3</v>
      </c>
      <c r="Q2" s="5"/>
      <c r="R2" s="5"/>
      <c r="S2" s="5"/>
      <c r="T2" s="5"/>
      <c r="U2" s="5"/>
      <c r="V2" s="5" t="s">
        <v>45</v>
      </c>
      <c r="W2" s="5"/>
      <c r="X2" s="5"/>
      <c r="Y2" s="5"/>
      <c r="Z2" s="5"/>
      <c r="AA2" s="5"/>
    </row>
    <row r="3" ht="38" customHeight="1" spans="1:27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/>
      <c r="G3" s="3"/>
      <c r="H3" s="3"/>
      <c r="I3" s="3"/>
      <c r="J3" s="3"/>
      <c r="K3" s="3"/>
      <c r="L3" s="3"/>
      <c r="M3" s="3"/>
      <c r="N3" s="3"/>
      <c r="O3" s="3" t="s">
        <v>10</v>
      </c>
      <c r="P3" s="3"/>
      <c r="Q3" s="3"/>
      <c r="R3" s="3"/>
      <c r="S3" s="3"/>
      <c r="T3" s="3"/>
      <c r="U3" s="3"/>
      <c r="V3" s="3"/>
      <c r="W3" s="3"/>
      <c r="X3" s="3"/>
      <c r="Y3" s="5"/>
      <c r="Z3" s="5"/>
      <c r="AA3" s="5"/>
    </row>
    <row r="4" ht="38" customHeight="1" spans="1:27">
      <c r="A4" s="3"/>
      <c r="B4" s="3"/>
      <c r="C4" s="3"/>
      <c r="D4" s="3"/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 t="s">
        <v>12</v>
      </c>
      <c r="Q4" s="3" t="s">
        <v>13</v>
      </c>
      <c r="R4" s="3" t="s">
        <v>14</v>
      </c>
      <c r="S4" s="3" t="s">
        <v>15</v>
      </c>
      <c r="T4" s="3" t="s">
        <v>16</v>
      </c>
      <c r="U4" s="3" t="s">
        <v>17</v>
      </c>
      <c r="V4" s="3" t="s">
        <v>18</v>
      </c>
      <c r="W4" s="3" t="s">
        <v>19</v>
      </c>
      <c r="X4" s="3" t="s">
        <v>20</v>
      </c>
      <c r="Y4" s="5"/>
      <c r="Z4" s="5" t="s">
        <v>22</v>
      </c>
      <c r="AA4" s="5"/>
    </row>
    <row r="5" ht="24" customHeight="1" spans="1:27">
      <c r="A5" s="4">
        <v>1</v>
      </c>
      <c r="B5" s="4" t="s">
        <v>23</v>
      </c>
      <c r="C5" s="6">
        <f>'202408月考勤表'!AI6</f>
        <v>5.5</v>
      </c>
      <c r="D5" s="6">
        <f>'202408月考勤表'!AJ6</f>
        <v>0.25</v>
      </c>
      <c r="E5" s="8">
        <v>33240</v>
      </c>
      <c r="F5" s="8">
        <v>6281.46</v>
      </c>
      <c r="G5" s="8">
        <v>3963.15</v>
      </c>
      <c r="H5" s="8">
        <v>409.77</v>
      </c>
      <c r="I5" s="8">
        <v>304.66</v>
      </c>
      <c r="J5" s="8">
        <v>1603.88</v>
      </c>
      <c r="K5" s="8">
        <v>0</v>
      </c>
      <c r="L5" s="8">
        <v>4083</v>
      </c>
      <c r="M5" s="8"/>
      <c r="N5" s="8">
        <f t="shared" ref="N5:N10" si="0">SUM(E5,F5,L5,M5)</f>
        <v>43604.46</v>
      </c>
      <c r="O5" s="8">
        <f t="shared" ref="O5:O10" si="1">E5*$D5</f>
        <v>8310</v>
      </c>
      <c r="P5" s="8">
        <f t="shared" ref="P5:P10" si="2">F5*$D5</f>
        <v>1570.365</v>
      </c>
      <c r="Q5" s="8">
        <f t="shared" ref="Q5:Q10" si="3">G5*$D5</f>
        <v>990.7875</v>
      </c>
      <c r="R5" s="8">
        <f t="shared" ref="R5:R10" si="4">H5*$D5</f>
        <v>102.4425</v>
      </c>
      <c r="S5" s="8">
        <f t="shared" ref="S5:S10" si="5">I5*$D5</f>
        <v>76.165</v>
      </c>
      <c r="T5" s="8">
        <f t="shared" ref="T5:T10" si="6">J5*$D5</f>
        <v>400.97</v>
      </c>
      <c r="U5" s="8">
        <f t="shared" ref="U5:U10" si="7">K5*$D5</f>
        <v>0</v>
      </c>
      <c r="V5" s="8">
        <f t="shared" ref="V5:V10" si="8">L5*$D5</f>
        <v>1020.75</v>
      </c>
      <c r="W5" s="8" t="str">
        <f t="shared" ref="W5:W10" si="9">IF(M5="","",M5*$D5)</f>
        <v/>
      </c>
      <c r="X5" s="8">
        <f t="shared" ref="X5:X10" si="10">SUM(O5,P5,V5,W5)</f>
        <v>10901.115</v>
      </c>
      <c r="Y5" s="12"/>
      <c r="Z5" s="12">
        <f t="shared" ref="Z5:Z10" si="11">SUM(O5,P5,V5,W5)</f>
        <v>10901.115</v>
      </c>
      <c r="AA5" s="12">
        <f t="shared" ref="AA5:AA10" si="12">ROUND(Z5-X5,2)</f>
        <v>0</v>
      </c>
    </row>
    <row r="6" ht="24" customHeight="1" spans="1:27">
      <c r="A6" s="4">
        <v>2</v>
      </c>
      <c r="B6" s="4" t="s">
        <v>24</v>
      </c>
      <c r="C6" s="6">
        <f>'202408月考勤表'!AI8</f>
        <v>5.5</v>
      </c>
      <c r="D6" s="6">
        <f>'202408月考勤表'!AJ8</f>
        <v>0.25</v>
      </c>
      <c r="E6" s="8">
        <v>27930</v>
      </c>
      <c r="F6" s="8">
        <v>5278.57</v>
      </c>
      <c r="G6" s="8">
        <v>3574.65</v>
      </c>
      <c r="H6" s="8">
        <v>238.31</v>
      </c>
      <c r="I6" s="8">
        <v>190.65</v>
      </c>
      <c r="J6" s="8">
        <v>1274.96</v>
      </c>
      <c r="K6" s="8">
        <v>0</v>
      </c>
      <c r="L6" s="8">
        <v>3222</v>
      </c>
      <c r="M6" s="8"/>
      <c r="N6" s="8">
        <f t="shared" si="0"/>
        <v>36430.57</v>
      </c>
      <c r="O6" s="8">
        <f t="shared" si="1"/>
        <v>6982.5</v>
      </c>
      <c r="P6" s="8">
        <f t="shared" si="2"/>
        <v>1319.6425</v>
      </c>
      <c r="Q6" s="8">
        <f t="shared" si="3"/>
        <v>893.6625</v>
      </c>
      <c r="R6" s="8">
        <f t="shared" si="4"/>
        <v>59.5775</v>
      </c>
      <c r="S6" s="8">
        <f t="shared" si="5"/>
        <v>47.6625</v>
      </c>
      <c r="T6" s="8">
        <f t="shared" si="6"/>
        <v>318.74</v>
      </c>
      <c r="U6" s="8">
        <f t="shared" si="7"/>
        <v>0</v>
      </c>
      <c r="V6" s="8">
        <f t="shared" si="8"/>
        <v>805.5</v>
      </c>
      <c r="W6" s="8" t="str">
        <f t="shared" si="9"/>
        <v/>
      </c>
      <c r="X6" s="8">
        <f t="shared" si="10"/>
        <v>9107.6425</v>
      </c>
      <c r="Y6" s="12"/>
      <c r="Z6" s="12">
        <f t="shared" si="11"/>
        <v>9107.6425</v>
      </c>
      <c r="AA6" s="12">
        <f t="shared" si="12"/>
        <v>0</v>
      </c>
    </row>
    <row r="7" ht="24" customHeight="1" spans="1:27">
      <c r="A7" s="4">
        <v>3</v>
      </c>
      <c r="B7" s="4" t="s">
        <v>25</v>
      </c>
      <c r="C7" s="6">
        <f>'202408月考勤表'!AI10</f>
        <v>11</v>
      </c>
      <c r="D7" s="6">
        <f>'202408月考勤表'!AJ10</f>
        <v>0.5</v>
      </c>
      <c r="E7" s="8">
        <v>24270</v>
      </c>
      <c r="F7" s="8">
        <v>6171.51</v>
      </c>
      <c r="G7" s="8">
        <v>3963.15</v>
      </c>
      <c r="H7" s="8">
        <v>335.82</v>
      </c>
      <c r="I7" s="8">
        <v>268.66</v>
      </c>
      <c r="J7" s="8">
        <v>1603.88</v>
      </c>
      <c r="K7" s="8">
        <v>0</v>
      </c>
      <c r="L7" s="8">
        <v>3715</v>
      </c>
      <c r="M7" s="8"/>
      <c r="N7" s="8">
        <f t="shared" si="0"/>
        <v>34156.51</v>
      </c>
      <c r="O7" s="8">
        <f t="shared" si="1"/>
        <v>12135</v>
      </c>
      <c r="P7" s="8">
        <f t="shared" si="2"/>
        <v>3085.755</v>
      </c>
      <c r="Q7" s="8">
        <f t="shared" si="3"/>
        <v>1981.575</v>
      </c>
      <c r="R7" s="8">
        <f t="shared" si="4"/>
        <v>167.91</v>
      </c>
      <c r="S7" s="8">
        <f t="shared" si="5"/>
        <v>134.33</v>
      </c>
      <c r="T7" s="8">
        <f t="shared" si="6"/>
        <v>801.94</v>
      </c>
      <c r="U7" s="8">
        <f t="shared" si="7"/>
        <v>0</v>
      </c>
      <c r="V7" s="8">
        <f t="shared" si="8"/>
        <v>1857.5</v>
      </c>
      <c r="W7" s="8" t="str">
        <f t="shared" si="9"/>
        <v/>
      </c>
      <c r="X7" s="8">
        <f t="shared" si="10"/>
        <v>17078.255</v>
      </c>
      <c r="Y7" s="12"/>
      <c r="Z7" s="12">
        <f t="shared" si="11"/>
        <v>17078.255</v>
      </c>
      <c r="AA7" s="12">
        <f t="shared" si="12"/>
        <v>0</v>
      </c>
    </row>
    <row r="8" ht="24" customHeight="1" spans="1:27">
      <c r="A8" s="4">
        <v>4</v>
      </c>
      <c r="B8" s="4" t="s">
        <v>26</v>
      </c>
      <c r="C8" s="6">
        <f>'202408月考勤表'!AI12</f>
        <v>2</v>
      </c>
      <c r="D8" s="6">
        <f>'202408月考勤表'!AJ12</f>
        <v>0.0909090909090909</v>
      </c>
      <c r="E8" s="8">
        <v>30850</v>
      </c>
      <c r="F8" s="8">
        <v>6083.41</v>
      </c>
      <c r="G8" s="8">
        <v>3963.15</v>
      </c>
      <c r="H8" s="8">
        <v>296.54</v>
      </c>
      <c r="I8" s="8">
        <v>237.23</v>
      </c>
      <c r="J8" s="8">
        <v>1586.49</v>
      </c>
      <c r="K8" s="8">
        <v>0</v>
      </c>
      <c r="L8" s="8">
        <v>3912</v>
      </c>
      <c r="M8" s="8"/>
      <c r="N8" s="8">
        <f t="shared" si="0"/>
        <v>40845.41</v>
      </c>
      <c r="O8" s="8">
        <f t="shared" si="1"/>
        <v>2804.54545454545</v>
      </c>
      <c r="P8" s="8">
        <f t="shared" si="2"/>
        <v>553.037272727273</v>
      </c>
      <c r="Q8" s="8">
        <f t="shared" si="3"/>
        <v>360.286363636364</v>
      </c>
      <c r="R8" s="8">
        <f t="shared" si="4"/>
        <v>26.9581818181818</v>
      </c>
      <c r="S8" s="8">
        <f t="shared" si="5"/>
        <v>21.5663636363636</v>
      </c>
      <c r="T8" s="8">
        <f t="shared" si="6"/>
        <v>144.226363636364</v>
      </c>
      <c r="U8" s="8">
        <f t="shared" si="7"/>
        <v>0</v>
      </c>
      <c r="V8" s="8">
        <f t="shared" si="8"/>
        <v>355.636363636364</v>
      </c>
      <c r="W8" s="8" t="str">
        <f t="shared" si="9"/>
        <v/>
      </c>
      <c r="X8" s="8">
        <f t="shared" si="10"/>
        <v>3713.21909090909</v>
      </c>
      <c r="Y8" s="12"/>
      <c r="Z8" s="12">
        <f t="shared" si="11"/>
        <v>3713.21909090909</v>
      </c>
      <c r="AA8" s="12">
        <f t="shared" si="12"/>
        <v>0</v>
      </c>
    </row>
    <row r="9" ht="24" customHeight="1" spans="1:27">
      <c r="A9" s="4">
        <v>5</v>
      </c>
      <c r="B9" s="4" t="s">
        <v>46</v>
      </c>
      <c r="C9" s="6">
        <f>'202408月考勤表'!AI14</f>
        <v>2</v>
      </c>
      <c r="D9" s="6">
        <f>'202408月考勤表'!AJ14</f>
        <v>0.0909090909090909</v>
      </c>
      <c r="E9" s="8">
        <v>18580</v>
      </c>
      <c r="F9" s="8">
        <v>4548.5</v>
      </c>
      <c r="G9" s="8">
        <v>3080.25</v>
      </c>
      <c r="H9" s="8">
        <v>205.35</v>
      </c>
      <c r="I9" s="8">
        <v>164.28</v>
      </c>
      <c r="J9" s="8">
        <v>1098.62</v>
      </c>
      <c r="K9" s="8">
        <v>0</v>
      </c>
      <c r="L9" s="8">
        <v>3212</v>
      </c>
      <c r="M9" s="8"/>
      <c r="N9" s="8">
        <f t="shared" si="0"/>
        <v>26340.5</v>
      </c>
      <c r="O9" s="8">
        <f t="shared" si="1"/>
        <v>1689.09090909091</v>
      </c>
      <c r="P9" s="8">
        <f t="shared" si="2"/>
        <v>413.5</v>
      </c>
      <c r="Q9" s="8">
        <f t="shared" si="3"/>
        <v>280.022727272727</v>
      </c>
      <c r="R9" s="8">
        <f t="shared" si="4"/>
        <v>18.6681818181818</v>
      </c>
      <c r="S9" s="8">
        <f t="shared" si="5"/>
        <v>14.9345454545455</v>
      </c>
      <c r="T9" s="8">
        <f t="shared" si="6"/>
        <v>99.8745454545454</v>
      </c>
      <c r="U9" s="8">
        <f t="shared" si="7"/>
        <v>0</v>
      </c>
      <c r="V9" s="8">
        <f t="shared" si="8"/>
        <v>292</v>
      </c>
      <c r="W9" s="8" t="str">
        <f t="shared" si="9"/>
        <v/>
      </c>
      <c r="X9" s="8">
        <f t="shared" si="10"/>
        <v>2394.59090909091</v>
      </c>
      <c r="Y9" s="12"/>
      <c r="Z9" s="12">
        <f t="shared" si="11"/>
        <v>2394.59090909091</v>
      </c>
      <c r="AA9" s="12">
        <f t="shared" si="12"/>
        <v>0</v>
      </c>
    </row>
    <row r="10" ht="24" customHeight="1" spans="1:27">
      <c r="A10" s="4">
        <v>6</v>
      </c>
      <c r="B10" s="4" t="s">
        <v>27</v>
      </c>
      <c r="C10" s="6">
        <f>'202408月考勤表'!AI16</f>
        <v>2</v>
      </c>
      <c r="D10" s="6">
        <f>'202408月考勤表'!AJ16</f>
        <v>0.0909090909090909</v>
      </c>
      <c r="E10" s="8">
        <v>32000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/>
      <c r="N10" s="8">
        <f t="shared" si="0"/>
        <v>32000</v>
      </c>
      <c r="O10" s="8">
        <f t="shared" si="1"/>
        <v>2909.09090909091</v>
      </c>
      <c r="P10" s="8">
        <f t="shared" si="2"/>
        <v>0</v>
      </c>
      <c r="Q10" s="8">
        <f t="shared" si="3"/>
        <v>0</v>
      </c>
      <c r="R10" s="8">
        <f t="shared" si="4"/>
        <v>0</v>
      </c>
      <c r="S10" s="8">
        <f t="shared" si="5"/>
        <v>0</v>
      </c>
      <c r="T10" s="8">
        <f t="shared" si="6"/>
        <v>0</v>
      </c>
      <c r="U10" s="8">
        <f t="shared" si="7"/>
        <v>0</v>
      </c>
      <c r="V10" s="8">
        <f t="shared" si="8"/>
        <v>0</v>
      </c>
      <c r="W10" s="8" t="str">
        <f t="shared" si="9"/>
        <v/>
      </c>
      <c r="X10" s="8">
        <f t="shared" si="10"/>
        <v>2909.09090909091</v>
      </c>
      <c r="Y10" s="12"/>
      <c r="Z10" s="12">
        <f t="shared" si="11"/>
        <v>2909.09090909091</v>
      </c>
      <c r="AA10" s="12">
        <f t="shared" si="12"/>
        <v>0</v>
      </c>
    </row>
    <row r="11" ht="24" customHeight="1" spans="1:27">
      <c r="A11" s="4"/>
      <c r="B11" s="9" t="s">
        <v>28</v>
      </c>
      <c r="C11" s="10">
        <f>SUM(C5:C10)</f>
        <v>28</v>
      </c>
      <c r="D11" s="10"/>
      <c r="E11" s="11">
        <f t="shared" ref="E11:W11" si="13">SUM(E5:E10)</f>
        <v>166870</v>
      </c>
      <c r="F11" s="11">
        <f t="shared" si="13"/>
        <v>28363.45</v>
      </c>
      <c r="G11" s="11">
        <f t="shared" si="13"/>
        <v>18544.35</v>
      </c>
      <c r="H11" s="11">
        <f t="shared" si="13"/>
        <v>1485.79</v>
      </c>
      <c r="I11" s="11">
        <f t="shared" si="13"/>
        <v>1165.48</v>
      </c>
      <c r="J11" s="11">
        <f t="shared" si="13"/>
        <v>7167.83</v>
      </c>
      <c r="K11" s="11">
        <f t="shared" si="13"/>
        <v>0</v>
      </c>
      <c r="L11" s="11">
        <f t="shared" si="13"/>
        <v>18144</v>
      </c>
      <c r="M11" s="11">
        <f t="shared" si="13"/>
        <v>0</v>
      </c>
      <c r="N11" s="11">
        <f t="shared" si="13"/>
        <v>213377.45</v>
      </c>
      <c r="O11" s="11">
        <f t="shared" si="13"/>
        <v>34830.2272727273</v>
      </c>
      <c r="P11" s="11">
        <f t="shared" si="13"/>
        <v>6942.29977272727</v>
      </c>
      <c r="Q11" s="11">
        <f t="shared" si="13"/>
        <v>4506.33409090909</v>
      </c>
      <c r="R11" s="11">
        <f t="shared" si="13"/>
        <v>375.556363636364</v>
      </c>
      <c r="S11" s="11">
        <f t="shared" si="13"/>
        <v>294.658409090909</v>
      </c>
      <c r="T11" s="11">
        <f t="shared" si="13"/>
        <v>1765.75090909091</v>
      </c>
      <c r="U11" s="11">
        <f t="shared" si="13"/>
        <v>0</v>
      </c>
      <c r="V11" s="11">
        <f t="shared" si="13"/>
        <v>4331.38636363636</v>
      </c>
      <c r="W11" s="11">
        <f t="shared" si="13"/>
        <v>0</v>
      </c>
      <c r="X11" s="11">
        <f>ROUND(SUM(X5:X10),2)+4138.11</f>
        <v>50242.02</v>
      </c>
      <c r="Y11" s="12"/>
      <c r="Z11" s="12">
        <f>SUM(Z5:Z10)</f>
        <v>46103.9134090909</v>
      </c>
      <c r="AA11" s="12">
        <f>ROUND(ROUND(Z11,2)+4138.11-X11,2)</f>
        <v>0</v>
      </c>
    </row>
    <row r="12" ht="15" customHeight="1" spans="1:27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5" customHeight="1" spans="1:27">
      <c r="A13" s="2"/>
      <c r="B13" s="2" t="s">
        <v>29</v>
      </c>
      <c r="C13" s="2"/>
      <c r="D13" s="2"/>
      <c r="E13" s="2"/>
      <c r="F13" s="2"/>
      <c r="G13" s="2"/>
      <c r="H13" s="2" t="s">
        <v>30</v>
      </c>
      <c r="I13" s="2"/>
      <c r="J13" s="2"/>
      <c r="K13" s="2"/>
      <c r="L13" s="2"/>
      <c r="M13" s="2" t="s">
        <v>31</v>
      </c>
      <c r="N13" s="2"/>
      <c r="O13" s="2"/>
      <c r="P13" s="2"/>
      <c r="Q13" s="2"/>
      <c r="R13" s="2" t="s">
        <v>32</v>
      </c>
      <c r="S13" s="2"/>
      <c r="T13" s="2"/>
      <c r="U13" s="2"/>
      <c r="V13" s="2" t="s">
        <v>33</v>
      </c>
      <c r="W13" s="2"/>
      <c r="X13" s="2"/>
      <c r="Y13" s="5"/>
      <c r="Z13" s="5"/>
      <c r="AA13" s="5"/>
    </row>
  </sheetData>
  <mergeCells count="10">
    <mergeCell ref="B1:X1"/>
    <mergeCell ref="A2:L2"/>
    <mergeCell ref="M2:O2"/>
    <mergeCell ref="V2:X2"/>
    <mergeCell ref="E3:N3"/>
    <mergeCell ref="O3:X3"/>
    <mergeCell ref="A3:A4"/>
    <mergeCell ref="B3:B4"/>
    <mergeCell ref="C3:C4"/>
    <mergeCell ref="D3:D4"/>
  </mergeCells>
  <pageMargins left="0.699305555555556" right="0.699305555555556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J18"/>
  <sheetViews>
    <sheetView showGridLines="0" tabSelected="1" workbookViewId="0">
      <pane xSplit="3" ySplit="4" topLeftCell="D5" activePane="bottomRight" state="frozen"/>
      <selection/>
      <selection pane="topRight"/>
      <selection pane="bottomLeft"/>
      <selection pane="bottomRight" activeCell="A17" sqref="A17:AJ17"/>
    </sheetView>
  </sheetViews>
  <sheetFormatPr defaultColWidth="9" defaultRowHeight="13.5"/>
  <cols>
    <col min="1" max="1" width="2.83333333333333" customWidth="1"/>
    <col min="2" max="2" width="6.33333333333333" customWidth="1"/>
    <col min="3" max="3" width="4.66666666666667" customWidth="1"/>
    <col min="4" max="34" width="3.5" customWidth="1"/>
    <col min="35" max="35" width="4.58333333333333" customWidth="1"/>
    <col min="36" max="36" width="5.41666666666667" customWidth="1"/>
  </cols>
  <sheetData>
    <row r="1" ht="25.1" customHeight="1" spans="1:36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5.75" customHeight="1" spans="1:36">
      <c r="A2" s="2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  <c r="S2" s="5"/>
      <c r="T2" s="5"/>
      <c r="U2" s="5"/>
      <c r="V2" s="5"/>
      <c r="W2" s="5"/>
      <c r="X2" s="5"/>
      <c r="Y2" s="5"/>
      <c r="Z2" s="5"/>
      <c r="AA2" s="5" t="s">
        <v>36</v>
      </c>
      <c r="AB2" s="5"/>
      <c r="AC2" s="5"/>
      <c r="AD2" s="5"/>
      <c r="AE2" s="5" t="s">
        <v>3</v>
      </c>
      <c r="AF2" s="5"/>
      <c r="AG2" s="5"/>
      <c r="AH2" s="5"/>
      <c r="AI2" s="5"/>
      <c r="AJ2" s="5"/>
    </row>
    <row r="3" ht="15.75" customHeight="1" spans="1:36">
      <c r="A3" s="3" t="s">
        <v>5</v>
      </c>
      <c r="B3" s="3" t="s">
        <v>6</v>
      </c>
      <c r="C3" s="3" t="s">
        <v>37</v>
      </c>
      <c r="D3" s="3" t="s">
        <v>47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 t="s">
        <v>39</v>
      </c>
      <c r="AJ3" s="3" t="s">
        <v>40</v>
      </c>
    </row>
    <row r="4" ht="15.75" customHeight="1" spans="1:36">
      <c r="A4" s="3"/>
      <c r="B4" s="3"/>
      <c r="C4" s="3"/>
      <c r="D4" s="3">
        <v>21</v>
      </c>
      <c r="E4" s="3">
        <v>22</v>
      </c>
      <c r="F4" s="3">
        <v>23</v>
      </c>
      <c r="G4" s="3">
        <v>24</v>
      </c>
      <c r="H4" s="3">
        <v>25</v>
      </c>
      <c r="I4" s="3">
        <v>26</v>
      </c>
      <c r="J4" s="3">
        <v>27</v>
      </c>
      <c r="K4" s="3">
        <v>28</v>
      </c>
      <c r="L4" s="3">
        <v>29</v>
      </c>
      <c r="M4" s="3">
        <v>30</v>
      </c>
      <c r="N4" s="3">
        <v>31</v>
      </c>
      <c r="O4" s="3">
        <v>1</v>
      </c>
      <c r="P4" s="3">
        <v>2</v>
      </c>
      <c r="Q4" s="3">
        <v>3</v>
      </c>
      <c r="R4" s="3">
        <v>4</v>
      </c>
      <c r="S4" s="3">
        <v>5</v>
      </c>
      <c r="T4" s="3">
        <v>6</v>
      </c>
      <c r="U4" s="3">
        <v>7</v>
      </c>
      <c r="V4" s="3">
        <v>8</v>
      </c>
      <c r="W4" s="3">
        <v>9</v>
      </c>
      <c r="X4" s="3">
        <v>10</v>
      </c>
      <c r="Y4" s="3">
        <v>11</v>
      </c>
      <c r="Z4" s="3">
        <v>12</v>
      </c>
      <c r="AA4" s="3">
        <v>13</v>
      </c>
      <c r="AB4" s="3">
        <v>14</v>
      </c>
      <c r="AC4" s="3">
        <v>15</v>
      </c>
      <c r="AD4" s="3">
        <v>16</v>
      </c>
      <c r="AE4" s="3">
        <v>17</v>
      </c>
      <c r="AF4" s="3">
        <v>18</v>
      </c>
      <c r="AG4" s="3">
        <v>19</v>
      </c>
      <c r="AH4" s="3">
        <v>20</v>
      </c>
      <c r="AI4" s="3"/>
      <c r="AJ4" s="3"/>
    </row>
    <row r="5" ht="19" customHeight="1" spans="1:36">
      <c r="A5" s="4">
        <v>1</v>
      </c>
      <c r="B5" s="4" t="s">
        <v>23</v>
      </c>
      <c r="C5" s="4" t="s">
        <v>41</v>
      </c>
      <c r="D5" s="4" t="s">
        <v>42</v>
      </c>
      <c r="E5" s="4">
        <v>8</v>
      </c>
      <c r="F5" s="4">
        <v>8</v>
      </c>
      <c r="G5" s="4">
        <v>8</v>
      </c>
      <c r="H5" s="4">
        <v>8</v>
      </c>
      <c r="I5" s="4">
        <v>8</v>
      </c>
      <c r="J5" s="4" t="s">
        <v>42</v>
      </c>
      <c r="K5" s="4" t="s">
        <v>42</v>
      </c>
      <c r="L5" s="4">
        <v>8</v>
      </c>
      <c r="M5" s="4">
        <v>8</v>
      </c>
      <c r="N5" s="4">
        <v>8</v>
      </c>
      <c r="O5" s="4">
        <v>8</v>
      </c>
      <c r="P5" s="4">
        <v>8</v>
      </c>
      <c r="Q5" s="4" t="s">
        <v>42</v>
      </c>
      <c r="R5" s="4" t="s">
        <v>42</v>
      </c>
      <c r="S5" s="4">
        <v>8</v>
      </c>
      <c r="T5" s="4">
        <v>8</v>
      </c>
      <c r="U5" s="4">
        <v>8</v>
      </c>
      <c r="V5" s="4">
        <v>8</v>
      </c>
      <c r="W5" s="4">
        <v>8</v>
      </c>
      <c r="X5" s="4" t="s">
        <v>42</v>
      </c>
      <c r="Y5" s="4" t="s">
        <v>42</v>
      </c>
      <c r="Z5" s="4">
        <v>8</v>
      </c>
      <c r="AA5" s="4">
        <v>8</v>
      </c>
      <c r="AB5" s="4">
        <v>8</v>
      </c>
      <c r="AC5" s="4">
        <v>8</v>
      </c>
      <c r="AD5" s="4">
        <v>8</v>
      </c>
      <c r="AE5" s="4" t="s">
        <v>42</v>
      </c>
      <c r="AF5" s="4" t="s">
        <v>42</v>
      </c>
      <c r="AG5" s="4">
        <v>8</v>
      </c>
      <c r="AH5" s="4">
        <v>8</v>
      </c>
      <c r="AI5" s="4">
        <f>COUNT(D5:AH5)</f>
        <v>22</v>
      </c>
      <c r="AJ5" s="6"/>
    </row>
    <row r="6" ht="19" customHeight="1" spans="1:36">
      <c r="A6" s="4"/>
      <c r="B6" s="4"/>
      <c r="C6" s="4" t="s">
        <v>43</v>
      </c>
      <c r="D6" s="4"/>
      <c r="E6" s="4"/>
      <c r="F6" s="4"/>
      <c r="G6" s="4">
        <v>4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>
        <v>8</v>
      </c>
      <c r="V6" s="4"/>
      <c r="W6" s="4"/>
      <c r="X6" s="4"/>
      <c r="Y6" s="4"/>
      <c r="Z6" s="4"/>
      <c r="AA6" s="4">
        <v>8</v>
      </c>
      <c r="AB6" s="4">
        <v>8</v>
      </c>
      <c r="AC6" s="4">
        <v>8</v>
      </c>
      <c r="AD6" s="4">
        <v>8</v>
      </c>
      <c r="AE6" s="4"/>
      <c r="AF6" s="4"/>
      <c r="AG6" s="4"/>
      <c r="AH6" s="4"/>
      <c r="AI6" s="4">
        <f>SUM(D6:AH6)/8</f>
        <v>5.5</v>
      </c>
      <c r="AJ6" s="6">
        <f>AI6/AI5</f>
        <v>0.25</v>
      </c>
    </row>
    <row r="7" ht="19" customHeight="1" spans="1:36">
      <c r="A7" s="4">
        <v>2</v>
      </c>
      <c r="B7" s="4" t="s">
        <v>24</v>
      </c>
      <c r="C7" s="4" t="s">
        <v>41</v>
      </c>
      <c r="D7" s="4" t="s">
        <v>42</v>
      </c>
      <c r="E7" s="4">
        <v>8</v>
      </c>
      <c r="F7" s="4">
        <v>8</v>
      </c>
      <c r="G7" s="4">
        <v>8</v>
      </c>
      <c r="H7" s="4">
        <v>8</v>
      </c>
      <c r="I7" s="4">
        <v>8</v>
      </c>
      <c r="J7" s="4" t="s">
        <v>42</v>
      </c>
      <c r="K7" s="4" t="s">
        <v>42</v>
      </c>
      <c r="L7" s="4">
        <v>8</v>
      </c>
      <c r="M7" s="4">
        <v>8</v>
      </c>
      <c r="N7" s="4">
        <v>8</v>
      </c>
      <c r="O7" s="4">
        <v>8</v>
      </c>
      <c r="P7" s="4">
        <v>8</v>
      </c>
      <c r="Q7" s="4" t="s">
        <v>42</v>
      </c>
      <c r="R7" s="4" t="s">
        <v>42</v>
      </c>
      <c r="S7" s="4">
        <v>8</v>
      </c>
      <c r="T7" s="4">
        <v>8</v>
      </c>
      <c r="U7" s="4">
        <v>8</v>
      </c>
      <c r="V7" s="4">
        <v>8</v>
      </c>
      <c r="W7" s="4">
        <v>8</v>
      </c>
      <c r="X7" s="4" t="s">
        <v>42</v>
      </c>
      <c r="Y7" s="4" t="s">
        <v>42</v>
      </c>
      <c r="Z7" s="4">
        <v>8</v>
      </c>
      <c r="AA7" s="4">
        <v>8</v>
      </c>
      <c r="AB7" s="4">
        <v>8</v>
      </c>
      <c r="AC7" s="4">
        <v>8</v>
      </c>
      <c r="AD7" s="4">
        <v>8</v>
      </c>
      <c r="AE7" s="4" t="s">
        <v>42</v>
      </c>
      <c r="AF7" s="4" t="s">
        <v>42</v>
      </c>
      <c r="AG7" s="4">
        <v>8</v>
      </c>
      <c r="AH7" s="4">
        <v>8</v>
      </c>
      <c r="AI7" s="4">
        <f>COUNT(D7:AH7)</f>
        <v>22</v>
      </c>
      <c r="AJ7" s="6"/>
    </row>
    <row r="8" ht="19" customHeight="1" spans="1:36">
      <c r="A8" s="4"/>
      <c r="B8" s="4"/>
      <c r="C8" s="4" t="s">
        <v>43</v>
      </c>
      <c r="D8" s="4"/>
      <c r="E8" s="4"/>
      <c r="F8" s="4"/>
      <c r="G8" s="4">
        <v>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>
        <v>8</v>
      </c>
      <c r="V8" s="4"/>
      <c r="W8" s="4"/>
      <c r="X8" s="4"/>
      <c r="Y8" s="4"/>
      <c r="Z8" s="4"/>
      <c r="AA8" s="4">
        <v>8</v>
      </c>
      <c r="AB8" s="4">
        <v>8</v>
      </c>
      <c r="AC8" s="4">
        <v>8</v>
      </c>
      <c r="AD8" s="4">
        <v>8</v>
      </c>
      <c r="AE8" s="4"/>
      <c r="AF8" s="4"/>
      <c r="AG8" s="4"/>
      <c r="AH8" s="4"/>
      <c r="AI8" s="4">
        <f>SUM(D8:AH8)/8</f>
        <v>5.5</v>
      </c>
      <c r="AJ8" s="6">
        <f>AI8/AI7</f>
        <v>0.25</v>
      </c>
    </row>
    <row r="9" ht="19" customHeight="1" spans="1:36">
      <c r="A9" s="4">
        <v>3</v>
      </c>
      <c r="B9" s="4" t="s">
        <v>25</v>
      </c>
      <c r="C9" s="4" t="s">
        <v>41</v>
      </c>
      <c r="D9" s="4" t="s">
        <v>42</v>
      </c>
      <c r="E9" s="4">
        <v>8</v>
      </c>
      <c r="F9" s="4">
        <v>8</v>
      </c>
      <c r="G9" s="4">
        <v>8</v>
      </c>
      <c r="H9" s="4">
        <v>8</v>
      </c>
      <c r="I9" s="4">
        <v>8</v>
      </c>
      <c r="J9" s="4" t="s">
        <v>42</v>
      </c>
      <c r="K9" s="4" t="s">
        <v>42</v>
      </c>
      <c r="L9" s="4">
        <v>8</v>
      </c>
      <c r="M9" s="4">
        <v>8</v>
      </c>
      <c r="N9" s="4">
        <v>8</v>
      </c>
      <c r="O9" s="4">
        <v>8</v>
      </c>
      <c r="P9" s="4">
        <v>8</v>
      </c>
      <c r="Q9" s="4" t="s">
        <v>42</v>
      </c>
      <c r="R9" s="4" t="s">
        <v>42</v>
      </c>
      <c r="S9" s="4">
        <v>8</v>
      </c>
      <c r="T9" s="4">
        <v>8</v>
      </c>
      <c r="U9" s="4">
        <v>8</v>
      </c>
      <c r="V9" s="4">
        <v>8</v>
      </c>
      <c r="W9" s="4">
        <v>8</v>
      </c>
      <c r="X9" s="4" t="s">
        <v>42</v>
      </c>
      <c r="Y9" s="4" t="s">
        <v>42</v>
      </c>
      <c r="Z9" s="4">
        <v>8</v>
      </c>
      <c r="AA9" s="4">
        <v>8</v>
      </c>
      <c r="AB9" s="4">
        <v>8</v>
      </c>
      <c r="AC9" s="4">
        <v>8</v>
      </c>
      <c r="AD9" s="4">
        <v>8</v>
      </c>
      <c r="AE9" s="4" t="s">
        <v>42</v>
      </c>
      <c r="AF9" s="4" t="s">
        <v>42</v>
      </c>
      <c r="AG9" s="4">
        <v>8</v>
      </c>
      <c r="AH9" s="4">
        <v>8</v>
      </c>
      <c r="AI9" s="4">
        <f>COUNT(D9:AH9)</f>
        <v>22</v>
      </c>
      <c r="AJ9" s="6"/>
    </row>
    <row r="10" ht="19" customHeight="1" spans="1:36">
      <c r="A10" s="4"/>
      <c r="B10" s="4"/>
      <c r="C10" s="4" t="s">
        <v>43</v>
      </c>
      <c r="D10" s="4"/>
      <c r="E10" s="4"/>
      <c r="F10" s="4"/>
      <c r="G10" s="4"/>
      <c r="H10" s="4"/>
      <c r="I10" s="4"/>
      <c r="J10" s="4"/>
      <c r="K10" s="4"/>
      <c r="L10" s="4">
        <v>8</v>
      </c>
      <c r="M10" s="4">
        <v>8</v>
      </c>
      <c r="N10" s="4"/>
      <c r="O10" s="4">
        <v>8</v>
      </c>
      <c r="P10" s="4">
        <v>8</v>
      </c>
      <c r="Q10" s="4"/>
      <c r="R10" s="4"/>
      <c r="S10" s="4"/>
      <c r="T10" s="4"/>
      <c r="U10" s="4">
        <v>8</v>
      </c>
      <c r="V10" s="4"/>
      <c r="W10" s="4"/>
      <c r="X10" s="4"/>
      <c r="Y10" s="4"/>
      <c r="Z10" s="4"/>
      <c r="AA10" s="4">
        <v>8</v>
      </c>
      <c r="AB10" s="4">
        <v>8</v>
      </c>
      <c r="AC10" s="4">
        <v>8</v>
      </c>
      <c r="AD10" s="4">
        <v>8</v>
      </c>
      <c r="AE10" s="4"/>
      <c r="AF10" s="4"/>
      <c r="AG10" s="4">
        <v>8</v>
      </c>
      <c r="AH10" s="4">
        <v>8</v>
      </c>
      <c r="AI10" s="4">
        <f>SUM(D10:AH10)/8</f>
        <v>11</v>
      </c>
      <c r="AJ10" s="6">
        <f>AI10/AI9</f>
        <v>0.5</v>
      </c>
    </row>
    <row r="11" ht="19" customHeight="1" spans="1:36">
      <c r="A11" s="4">
        <v>4</v>
      </c>
      <c r="B11" s="4" t="s">
        <v>26</v>
      </c>
      <c r="C11" s="4" t="s">
        <v>41</v>
      </c>
      <c r="D11" s="4" t="s">
        <v>42</v>
      </c>
      <c r="E11" s="4">
        <v>8</v>
      </c>
      <c r="F11" s="4">
        <v>8</v>
      </c>
      <c r="G11" s="4">
        <v>8</v>
      </c>
      <c r="H11" s="4">
        <v>8</v>
      </c>
      <c r="I11" s="4">
        <v>8</v>
      </c>
      <c r="J11" s="4" t="s">
        <v>42</v>
      </c>
      <c r="K11" s="4" t="s">
        <v>42</v>
      </c>
      <c r="L11" s="4">
        <v>8</v>
      </c>
      <c r="M11" s="4">
        <v>8</v>
      </c>
      <c r="N11" s="4">
        <v>8</v>
      </c>
      <c r="O11" s="4">
        <v>8</v>
      </c>
      <c r="P11" s="4">
        <v>8</v>
      </c>
      <c r="Q11" s="4" t="s">
        <v>42</v>
      </c>
      <c r="R11" s="4" t="s">
        <v>42</v>
      </c>
      <c r="S11" s="4">
        <v>8</v>
      </c>
      <c r="T11" s="4">
        <v>8</v>
      </c>
      <c r="U11" s="4">
        <v>8</v>
      </c>
      <c r="V11" s="4">
        <v>8</v>
      </c>
      <c r="W11" s="4">
        <v>8</v>
      </c>
      <c r="X11" s="4" t="s">
        <v>42</v>
      </c>
      <c r="Y11" s="4" t="s">
        <v>42</v>
      </c>
      <c r="Z11" s="4">
        <v>8</v>
      </c>
      <c r="AA11" s="4">
        <v>8</v>
      </c>
      <c r="AB11" s="4">
        <v>8</v>
      </c>
      <c r="AC11" s="4">
        <v>8</v>
      </c>
      <c r="AD11" s="4">
        <v>8</v>
      </c>
      <c r="AE11" s="4" t="s">
        <v>42</v>
      </c>
      <c r="AF11" s="4" t="s">
        <v>42</v>
      </c>
      <c r="AG11" s="4">
        <v>8</v>
      </c>
      <c r="AH11" s="4">
        <v>8</v>
      </c>
      <c r="AI11" s="4">
        <f>COUNT(D11:AH11)</f>
        <v>22</v>
      </c>
      <c r="AJ11" s="6"/>
    </row>
    <row r="12" ht="19" customHeight="1" spans="1:36">
      <c r="A12" s="4"/>
      <c r="B12" s="4"/>
      <c r="C12" s="4" t="s">
        <v>43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>
        <v>8</v>
      </c>
      <c r="AB12" s="4">
        <v>4</v>
      </c>
      <c r="AC12" s="4">
        <v>4</v>
      </c>
      <c r="AD12" s="4"/>
      <c r="AE12" s="4"/>
      <c r="AF12" s="4"/>
      <c r="AG12" s="4"/>
      <c r="AH12" s="4"/>
      <c r="AI12" s="4">
        <f>SUM(D12:AH12)/8</f>
        <v>2</v>
      </c>
      <c r="AJ12" s="6">
        <f>AI12/AI11</f>
        <v>0.0909090909090909</v>
      </c>
    </row>
    <row r="13" ht="19" customHeight="1" spans="1:36">
      <c r="A13" s="4">
        <v>5</v>
      </c>
      <c r="B13" s="4" t="s">
        <v>46</v>
      </c>
      <c r="C13" s="4" t="s">
        <v>41</v>
      </c>
      <c r="D13" s="4" t="s">
        <v>42</v>
      </c>
      <c r="E13" s="4">
        <v>8</v>
      </c>
      <c r="F13" s="4">
        <v>8</v>
      </c>
      <c r="G13" s="4">
        <v>8</v>
      </c>
      <c r="H13" s="4">
        <v>8</v>
      </c>
      <c r="I13" s="4">
        <v>8</v>
      </c>
      <c r="J13" s="4" t="s">
        <v>42</v>
      </c>
      <c r="K13" s="4" t="s">
        <v>42</v>
      </c>
      <c r="L13" s="4">
        <v>8</v>
      </c>
      <c r="M13" s="4">
        <v>8</v>
      </c>
      <c r="N13" s="4">
        <v>8</v>
      </c>
      <c r="O13" s="4">
        <v>8</v>
      </c>
      <c r="P13" s="4">
        <v>8</v>
      </c>
      <c r="Q13" s="4" t="s">
        <v>42</v>
      </c>
      <c r="R13" s="4" t="s">
        <v>42</v>
      </c>
      <c r="S13" s="4">
        <v>8</v>
      </c>
      <c r="T13" s="4">
        <v>8</v>
      </c>
      <c r="U13" s="4">
        <v>8</v>
      </c>
      <c r="V13" s="4">
        <v>8</v>
      </c>
      <c r="W13" s="4">
        <v>8</v>
      </c>
      <c r="X13" s="4" t="s">
        <v>42</v>
      </c>
      <c r="Y13" s="4" t="s">
        <v>42</v>
      </c>
      <c r="Z13" s="4">
        <v>8</v>
      </c>
      <c r="AA13" s="4">
        <v>8</v>
      </c>
      <c r="AB13" s="4">
        <v>8</v>
      </c>
      <c r="AC13" s="4">
        <v>8</v>
      </c>
      <c r="AD13" s="4">
        <v>8</v>
      </c>
      <c r="AE13" s="4" t="s">
        <v>42</v>
      </c>
      <c r="AF13" s="4" t="s">
        <v>42</v>
      </c>
      <c r="AG13" s="4">
        <v>8</v>
      </c>
      <c r="AH13" s="4">
        <v>8</v>
      </c>
      <c r="AI13" s="4">
        <f>COUNT(D13:AH13)</f>
        <v>22</v>
      </c>
      <c r="AJ13" s="6"/>
    </row>
    <row r="14" ht="19" customHeight="1" spans="1:36">
      <c r="A14" s="4"/>
      <c r="B14" s="4"/>
      <c r="C14" s="4" t="s">
        <v>43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>
        <v>8</v>
      </c>
      <c r="V14" s="4"/>
      <c r="W14" s="4"/>
      <c r="X14" s="4"/>
      <c r="Y14" s="4"/>
      <c r="Z14" s="4"/>
      <c r="AA14" s="4"/>
      <c r="AB14" s="4">
        <v>4</v>
      </c>
      <c r="AC14" s="4">
        <v>4</v>
      </c>
      <c r="AD14" s="4"/>
      <c r="AE14" s="4"/>
      <c r="AF14" s="4"/>
      <c r="AG14" s="4"/>
      <c r="AH14" s="4"/>
      <c r="AI14" s="4">
        <f>SUM(D14:AH14)/8</f>
        <v>2</v>
      </c>
      <c r="AJ14" s="6">
        <f>AI14/AI13</f>
        <v>0.0909090909090909</v>
      </c>
    </row>
    <row r="15" ht="19" customHeight="1" spans="1:36">
      <c r="A15" s="4">
        <v>6</v>
      </c>
      <c r="B15" s="4" t="s">
        <v>27</v>
      </c>
      <c r="C15" s="4" t="s">
        <v>41</v>
      </c>
      <c r="D15" s="4" t="s">
        <v>42</v>
      </c>
      <c r="E15" s="4">
        <v>8</v>
      </c>
      <c r="F15" s="4">
        <v>8</v>
      </c>
      <c r="G15" s="4">
        <v>8</v>
      </c>
      <c r="H15" s="4">
        <v>8</v>
      </c>
      <c r="I15" s="4">
        <v>8</v>
      </c>
      <c r="J15" s="4" t="s">
        <v>42</v>
      </c>
      <c r="K15" s="4" t="s">
        <v>42</v>
      </c>
      <c r="L15" s="4">
        <v>8</v>
      </c>
      <c r="M15" s="4">
        <v>8</v>
      </c>
      <c r="N15" s="4">
        <v>8</v>
      </c>
      <c r="O15" s="4">
        <v>8</v>
      </c>
      <c r="P15" s="4">
        <v>8</v>
      </c>
      <c r="Q15" s="4" t="s">
        <v>42</v>
      </c>
      <c r="R15" s="4" t="s">
        <v>42</v>
      </c>
      <c r="S15" s="4">
        <v>8</v>
      </c>
      <c r="T15" s="4">
        <v>8</v>
      </c>
      <c r="U15" s="4">
        <v>8</v>
      </c>
      <c r="V15" s="4">
        <v>8</v>
      </c>
      <c r="W15" s="4">
        <v>8</v>
      </c>
      <c r="X15" s="4" t="s">
        <v>42</v>
      </c>
      <c r="Y15" s="4" t="s">
        <v>42</v>
      </c>
      <c r="Z15" s="4">
        <v>8</v>
      </c>
      <c r="AA15" s="4">
        <v>8</v>
      </c>
      <c r="AB15" s="4">
        <v>8</v>
      </c>
      <c r="AC15" s="4">
        <v>8</v>
      </c>
      <c r="AD15" s="4">
        <v>8</v>
      </c>
      <c r="AE15" s="4" t="s">
        <v>42</v>
      </c>
      <c r="AF15" s="4" t="s">
        <v>42</v>
      </c>
      <c r="AG15" s="4">
        <v>8</v>
      </c>
      <c r="AH15" s="4">
        <v>8</v>
      </c>
      <c r="AI15" s="4">
        <f>COUNT(D15:AH15)</f>
        <v>22</v>
      </c>
      <c r="AJ15" s="6"/>
    </row>
    <row r="16" ht="19" customHeight="1" spans="1:36">
      <c r="A16" s="4"/>
      <c r="B16" s="4"/>
      <c r="C16" s="4" t="s">
        <v>43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>
        <v>8</v>
      </c>
      <c r="AD16" s="4">
        <v>8</v>
      </c>
      <c r="AE16" s="4"/>
      <c r="AF16" s="4"/>
      <c r="AG16" s="4"/>
      <c r="AH16" s="4"/>
      <c r="AI16" s="4">
        <f>SUM(D16:AH16)/8</f>
        <v>2</v>
      </c>
      <c r="AJ16" s="6">
        <f>AI16/AI15</f>
        <v>0.0909090909090909</v>
      </c>
    </row>
    <row r="17" ht="27" customHeight="1" spans="1:36">
      <c r="A17" s="2" t="s">
        <v>44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ht="24" customHeight="1" spans="1:36">
      <c r="A18" s="2" t="s">
        <v>29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 t="s">
        <v>33</v>
      </c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</sheetData>
  <mergeCells count="24">
    <mergeCell ref="A1:AJ1"/>
    <mergeCell ref="A2:Q2"/>
    <mergeCell ref="AA2:AD2"/>
    <mergeCell ref="AE2:AI2"/>
    <mergeCell ref="D3:AH3"/>
    <mergeCell ref="A17:AJ17"/>
    <mergeCell ref="A18:E18"/>
    <mergeCell ref="A3:A4"/>
    <mergeCell ref="A5:A6"/>
    <mergeCell ref="A7:A8"/>
    <mergeCell ref="A9:A10"/>
    <mergeCell ref="A11:A12"/>
    <mergeCell ref="A13:A14"/>
    <mergeCell ref="A15:A16"/>
    <mergeCell ref="B3:B4"/>
    <mergeCell ref="B5:B6"/>
    <mergeCell ref="B7:B8"/>
    <mergeCell ref="B9:B10"/>
    <mergeCell ref="B11:B12"/>
    <mergeCell ref="B13:B14"/>
    <mergeCell ref="B15:B16"/>
    <mergeCell ref="C3:C4"/>
    <mergeCell ref="AI3:AI4"/>
    <mergeCell ref="AJ3:AJ4"/>
  </mergeCells>
  <dataValidations count="1">
    <dataValidation type="decimal" operator="between" sqref="D6:AH6 D8:AH8 D10:AH10 D12:AH12 D14:AH14 D16:AH16">
      <formula1>0</formula1>
      <formula2>8</formula2>
    </dataValidation>
  </dataValidations>
  <pageMargins left="0.699305555555556" right="0.699305555555556" top="0.75" bottom="0.75" header="0.3" footer="0.3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A12"/>
  <sheetViews>
    <sheetView showGridLines="0" workbookViewId="0">
      <selection activeCell="A10" sqref="$A10:$XFD13"/>
    </sheetView>
  </sheetViews>
  <sheetFormatPr defaultColWidth="9" defaultRowHeight="13.5"/>
  <cols>
    <col min="1" max="1" width="3.08333333333333" customWidth="1"/>
    <col min="2" max="2" width="7" customWidth="1"/>
    <col min="3" max="3" width="7.44166666666667" customWidth="1"/>
    <col min="4" max="4" width="6.13333333333333" customWidth="1"/>
    <col min="5" max="5" width="10.075" customWidth="1"/>
    <col min="6" max="6" width="9.19166666666667" customWidth="1"/>
    <col min="7" max="7" width="8.94166666666667" customWidth="1"/>
    <col min="8" max="8" width="8.125" customWidth="1"/>
    <col min="9" max="9" width="7.875" customWidth="1"/>
    <col min="10" max="10" width="9.31666666666667" customWidth="1"/>
    <col min="11" max="11" width="7.25833333333333" customWidth="1"/>
    <col min="12" max="12" width="9.13333333333333" customWidth="1"/>
    <col min="13" max="13" width="7.38333333333333" customWidth="1"/>
    <col min="14" max="14" width="10.1333333333333" customWidth="1"/>
    <col min="15" max="15" width="9.94166666666667" customWidth="1"/>
    <col min="16" max="16" width="8.88333333333333" customWidth="1"/>
    <col min="17" max="17" width="9.13333333333333" customWidth="1"/>
    <col min="18" max="18" width="8.19166666666667" customWidth="1"/>
    <col min="19" max="19" width="8.38333333333333" customWidth="1"/>
    <col min="20" max="20" width="8.56666666666667" customWidth="1"/>
    <col min="21" max="21" width="7.88333333333333" customWidth="1"/>
    <col min="22" max="22" width="9.25833333333333" customWidth="1"/>
    <col min="23" max="23" width="7.38333333333333" customWidth="1"/>
    <col min="24" max="24" width="8.94166666666667" customWidth="1"/>
    <col min="25" max="25" width="9.25" customWidth="1"/>
    <col min="26" max="26" width="9" customWidth="1"/>
    <col min="27" max="27" width="6.58333333333333" customWidth="1"/>
  </cols>
  <sheetData>
    <row r="1" ht="51" customHeight="1" spans="1:27">
      <c r="A1" s="5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5"/>
      <c r="Z1" s="5"/>
      <c r="AA1" s="5"/>
    </row>
    <row r="2" ht="27" customHeight="1" spans="1:27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5" t="s">
        <v>2</v>
      </c>
      <c r="N2" s="5"/>
      <c r="O2" s="5"/>
      <c r="P2" s="5" t="s">
        <v>3</v>
      </c>
      <c r="Q2" s="5"/>
      <c r="R2" s="5"/>
      <c r="S2" s="5"/>
      <c r="T2" s="5"/>
      <c r="U2" s="5"/>
      <c r="V2" s="5" t="s">
        <v>48</v>
      </c>
      <c r="W2" s="5"/>
      <c r="X2" s="5"/>
      <c r="Y2" s="5"/>
      <c r="Z2" s="5"/>
      <c r="AA2" s="5"/>
    </row>
    <row r="3" ht="38" customHeight="1" spans="1:27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/>
      <c r="G3" s="3"/>
      <c r="H3" s="3"/>
      <c r="I3" s="3"/>
      <c r="J3" s="3"/>
      <c r="K3" s="3"/>
      <c r="L3" s="3"/>
      <c r="M3" s="3"/>
      <c r="N3" s="3"/>
      <c r="O3" s="3" t="s">
        <v>10</v>
      </c>
      <c r="P3" s="3"/>
      <c r="Q3" s="3"/>
      <c r="R3" s="3"/>
      <c r="S3" s="3"/>
      <c r="T3" s="3"/>
      <c r="U3" s="3"/>
      <c r="V3" s="3"/>
      <c r="W3" s="3"/>
      <c r="X3" s="3"/>
      <c r="Y3" s="5"/>
      <c r="Z3" s="5"/>
      <c r="AA3" s="5"/>
    </row>
    <row r="4" ht="38" customHeight="1" spans="1:27">
      <c r="A4" s="3"/>
      <c r="B4" s="3"/>
      <c r="C4" s="3"/>
      <c r="D4" s="3"/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 t="s">
        <v>12</v>
      </c>
      <c r="Q4" s="3" t="s">
        <v>13</v>
      </c>
      <c r="R4" s="3" t="s">
        <v>14</v>
      </c>
      <c r="S4" s="3" t="s">
        <v>15</v>
      </c>
      <c r="T4" s="3" t="s">
        <v>16</v>
      </c>
      <c r="U4" s="3" t="s">
        <v>17</v>
      </c>
      <c r="V4" s="3" t="s">
        <v>18</v>
      </c>
      <c r="W4" s="3" t="s">
        <v>19</v>
      </c>
      <c r="X4" s="3" t="s">
        <v>20</v>
      </c>
      <c r="Y4" s="5"/>
      <c r="Z4" s="5" t="s">
        <v>22</v>
      </c>
      <c r="AA4" s="5"/>
    </row>
    <row r="5" ht="24" customHeight="1" spans="1:27">
      <c r="A5" s="4">
        <v>1</v>
      </c>
      <c r="B5" s="4" t="s">
        <v>23</v>
      </c>
      <c r="C5" s="6">
        <f>'202409月考勤表'!AI6</f>
        <v>5.5</v>
      </c>
      <c r="D5" s="6">
        <f>'202409月考勤表'!AJ6</f>
        <v>0.25</v>
      </c>
      <c r="E5" s="8">
        <v>33240</v>
      </c>
      <c r="F5" s="8">
        <v>6281.46</v>
      </c>
      <c r="G5" s="8">
        <v>3963.15</v>
      </c>
      <c r="H5" s="8">
        <v>409.77</v>
      </c>
      <c r="I5" s="8">
        <v>304.66</v>
      </c>
      <c r="J5" s="8">
        <v>1603.88</v>
      </c>
      <c r="K5" s="8">
        <v>0</v>
      </c>
      <c r="L5" s="8">
        <v>4083</v>
      </c>
      <c r="M5" s="8"/>
      <c r="N5" s="8">
        <f>SUM(E5,F5,L5,M5)</f>
        <v>43604.46</v>
      </c>
      <c r="O5" s="8">
        <f>E5*$D5</f>
        <v>8310</v>
      </c>
      <c r="P5" s="8">
        <f>F5*$D5</f>
        <v>1570.365</v>
      </c>
      <c r="Q5" s="8">
        <f>G5*$D5</f>
        <v>990.7875</v>
      </c>
      <c r="R5" s="8">
        <f>H5*$D5</f>
        <v>102.4425</v>
      </c>
      <c r="S5" s="8">
        <f>I5*$D5</f>
        <v>76.165</v>
      </c>
      <c r="T5" s="8">
        <f>J5*$D5</f>
        <v>400.97</v>
      </c>
      <c r="U5" s="8">
        <f>K5*$D5</f>
        <v>0</v>
      </c>
      <c r="V5" s="8">
        <f>L5*$D5</f>
        <v>1020.75</v>
      </c>
      <c r="W5" s="8" t="str">
        <f>IF(M5="","",M5*$D5)</f>
        <v/>
      </c>
      <c r="X5" s="8">
        <f>SUM(O5,P5,V5,W5)</f>
        <v>10901.115</v>
      </c>
      <c r="Y5" s="12"/>
      <c r="Z5" s="12">
        <f>SUM(O5,P5,V5,W5)</f>
        <v>10901.115</v>
      </c>
      <c r="AA5" s="12">
        <f>ROUND(Z5-X5,2)</f>
        <v>0</v>
      </c>
    </row>
    <row r="6" ht="24" customHeight="1" spans="1:27">
      <c r="A6" s="4">
        <v>2</v>
      </c>
      <c r="B6" s="4" t="s">
        <v>25</v>
      </c>
      <c r="C6" s="6">
        <f>'202409月考勤表'!AI8</f>
        <v>11</v>
      </c>
      <c r="D6" s="6">
        <f>'202409月考勤表'!AJ8</f>
        <v>0.5</v>
      </c>
      <c r="E6" s="8">
        <v>24270</v>
      </c>
      <c r="F6" s="8">
        <v>6171.51</v>
      </c>
      <c r="G6" s="8">
        <v>3963.15</v>
      </c>
      <c r="H6" s="8">
        <v>335.82</v>
      </c>
      <c r="I6" s="8">
        <v>268.66</v>
      </c>
      <c r="J6" s="8">
        <v>1603.88</v>
      </c>
      <c r="K6" s="8">
        <v>0</v>
      </c>
      <c r="L6" s="8">
        <v>3715</v>
      </c>
      <c r="M6" s="8"/>
      <c r="N6" s="8">
        <f>SUM(E6,F6,L6,M6)</f>
        <v>34156.51</v>
      </c>
      <c r="O6" s="8">
        <f>E6*$D6</f>
        <v>12135</v>
      </c>
      <c r="P6" s="8">
        <f>F6*$D6</f>
        <v>3085.755</v>
      </c>
      <c r="Q6" s="8">
        <f>G6*$D6</f>
        <v>1981.575</v>
      </c>
      <c r="R6" s="8">
        <f>H6*$D6</f>
        <v>167.91</v>
      </c>
      <c r="S6" s="8">
        <f>I6*$D6</f>
        <v>134.33</v>
      </c>
      <c r="T6" s="8">
        <f>J6*$D6</f>
        <v>801.94</v>
      </c>
      <c r="U6" s="8">
        <f>K6*$D6</f>
        <v>0</v>
      </c>
      <c r="V6" s="8">
        <f>L6*$D6</f>
        <v>1857.5</v>
      </c>
      <c r="W6" s="8" t="str">
        <f>IF(M6="","",M6*$D6)</f>
        <v/>
      </c>
      <c r="X6" s="8">
        <f>SUM(O6,P6,V6,W6)</f>
        <v>17078.255</v>
      </c>
      <c r="Y6" s="12"/>
      <c r="Z6" s="12">
        <f>SUM(O6,P6,V6,W6)</f>
        <v>17078.255</v>
      </c>
      <c r="AA6" s="12">
        <f>ROUND(Z6-X6,2)</f>
        <v>0</v>
      </c>
    </row>
    <row r="7" ht="24" customHeight="1" spans="1:27">
      <c r="A7" s="4">
        <v>3</v>
      </c>
      <c r="B7" s="4" t="s">
        <v>26</v>
      </c>
      <c r="C7" s="6">
        <f>'202409月考勤表'!AI10</f>
        <v>2</v>
      </c>
      <c r="D7" s="6">
        <f>'202409月考勤表'!AJ10</f>
        <v>0.0909090909090909</v>
      </c>
      <c r="E7" s="8">
        <v>30850</v>
      </c>
      <c r="F7" s="8">
        <v>6083.41</v>
      </c>
      <c r="G7" s="8">
        <v>3963.15</v>
      </c>
      <c r="H7" s="8">
        <v>296.54</v>
      </c>
      <c r="I7" s="8">
        <v>237.23</v>
      </c>
      <c r="J7" s="8">
        <v>1586.49</v>
      </c>
      <c r="K7" s="8">
        <v>0</v>
      </c>
      <c r="L7" s="8">
        <v>3912</v>
      </c>
      <c r="M7" s="8"/>
      <c r="N7" s="8">
        <f>SUM(E7,F7,L7,M7)</f>
        <v>40845.41</v>
      </c>
      <c r="O7" s="8">
        <f>E7*$D7</f>
        <v>2804.54545454545</v>
      </c>
      <c r="P7" s="8">
        <f>F7*$D7</f>
        <v>553.037272727273</v>
      </c>
      <c r="Q7" s="8">
        <f>G7*$D7</f>
        <v>360.286363636364</v>
      </c>
      <c r="R7" s="8">
        <f>H7*$D7</f>
        <v>26.9581818181818</v>
      </c>
      <c r="S7" s="8">
        <f>I7*$D7</f>
        <v>21.5663636363636</v>
      </c>
      <c r="T7" s="8">
        <f>J7*$D7</f>
        <v>144.226363636364</v>
      </c>
      <c r="U7" s="8">
        <f>K7*$D7</f>
        <v>0</v>
      </c>
      <c r="V7" s="8">
        <f>L7*$D7</f>
        <v>355.636363636364</v>
      </c>
      <c r="W7" s="8" t="str">
        <f>IF(M7="","",M7*$D7)</f>
        <v/>
      </c>
      <c r="X7" s="8">
        <f>SUM(O7,P7,V7,W7)</f>
        <v>3713.21909090909</v>
      </c>
      <c r="Y7" s="12"/>
      <c r="Z7" s="12">
        <f>SUM(O7,P7,V7,W7)</f>
        <v>3713.21909090909</v>
      </c>
      <c r="AA7" s="12">
        <f>ROUND(Z7-X7,2)</f>
        <v>0</v>
      </c>
    </row>
    <row r="8" ht="24" customHeight="1" spans="1:27">
      <c r="A8" s="4">
        <v>4</v>
      </c>
      <c r="B8" s="4" t="s">
        <v>46</v>
      </c>
      <c r="C8" s="6">
        <f>'202409月考勤表'!AI12</f>
        <v>2</v>
      </c>
      <c r="D8" s="6">
        <f>'202409月考勤表'!AJ12</f>
        <v>0.0909090909090909</v>
      </c>
      <c r="E8" s="8">
        <v>18590</v>
      </c>
      <c r="F8" s="8">
        <v>4548.5</v>
      </c>
      <c r="G8" s="8">
        <v>3080.25</v>
      </c>
      <c r="H8" s="8">
        <v>205.35</v>
      </c>
      <c r="I8" s="8">
        <v>164.28</v>
      </c>
      <c r="J8" s="8">
        <v>1098.62</v>
      </c>
      <c r="K8" s="8">
        <v>0</v>
      </c>
      <c r="L8" s="8">
        <v>3212</v>
      </c>
      <c r="M8" s="8"/>
      <c r="N8" s="8">
        <f>SUM(E8,F8,L8,M8)</f>
        <v>26350.5</v>
      </c>
      <c r="O8" s="8">
        <f>E8*$D8</f>
        <v>1690</v>
      </c>
      <c r="P8" s="8">
        <f>F8*$D8</f>
        <v>413.5</v>
      </c>
      <c r="Q8" s="8">
        <f>G8*$D8</f>
        <v>280.022727272727</v>
      </c>
      <c r="R8" s="8">
        <f>H8*$D8</f>
        <v>18.6681818181818</v>
      </c>
      <c r="S8" s="8">
        <f>I8*$D8</f>
        <v>14.9345454545455</v>
      </c>
      <c r="T8" s="8">
        <f>J8*$D8</f>
        <v>99.8745454545454</v>
      </c>
      <c r="U8" s="8">
        <f>K8*$D8</f>
        <v>0</v>
      </c>
      <c r="V8" s="8">
        <f>L8*$D8</f>
        <v>292</v>
      </c>
      <c r="W8" s="8" t="str">
        <f>IF(M8="","",M8*$D8)</f>
        <v/>
      </c>
      <c r="X8" s="8">
        <f>SUM(O8,P8,V8,W8)</f>
        <v>2395.5</v>
      </c>
      <c r="Y8" s="12"/>
      <c r="Z8" s="12">
        <f>SUM(O8,P8,V8,W8)</f>
        <v>2395.5</v>
      </c>
      <c r="AA8" s="12">
        <f>ROUND(Z8-X8,2)</f>
        <v>0</v>
      </c>
    </row>
    <row r="9" ht="24" customHeight="1" spans="1:27">
      <c r="A9" s="4">
        <v>5</v>
      </c>
      <c r="B9" s="4" t="s">
        <v>27</v>
      </c>
      <c r="C9" s="6">
        <f>'202409月考勤表'!AI14</f>
        <v>2</v>
      </c>
      <c r="D9" s="6">
        <f>'202409月考勤表'!AJ14</f>
        <v>0.0909090909090909</v>
      </c>
      <c r="E9" s="8">
        <v>32000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/>
      <c r="N9" s="8">
        <f>SUM(E9,F9,L9,M9)</f>
        <v>32000</v>
      </c>
      <c r="O9" s="8">
        <f>E9*$D9</f>
        <v>2909.09090909091</v>
      </c>
      <c r="P9" s="8">
        <f>F9*$D9</f>
        <v>0</v>
      </c>
      <c r="Q9" s="8">
        <f>G9*$D9</f>
        <v>0</v>
      </c>
      <c r="R9" s="8">
        <f>H9*$D9</f>
        <v>0</v>
      </c>
      <c r="S9" s="8">
        <f>I9*$D9</f>
        <v>0</v>
      </c>
      <c r="T9" s="8">
        <f>J9*$D9</f>
        <v>0</v>
      </c>
      <c r="U9" s="8">
        <f>K9*$D9</f>
        <v>0</v>
      </c>
      <c r="V9" s="8">
        <f>L9*$D9</f>
        <v>0</v>
      </c>
      <c r="W9" s="8" t="str">
        <f>IF(M9="","",M9*$D9)</f>
        <v/>
      </c>
      <c r="X9" s="8">
        <f>SUM(O9,P9,V9,W9)</f>
        <v>2909.09090909091</v>
      </c>
      <c r="Y9" s="12"/>
      <c r="Z9" s="12">
        <f>SUM(O9,P9,V9,W9)</f>
        <v>2909.09090909091</v>
      </c>
      <c r="AA9" s="12">
        <f>ROUND(Z9-X9,2)</f>
        <v>0</v>
      </c>
    </row>
    <row r="10" ht="24" customHeight="1" spans="1:27">
      <c r="A10" s="4"/>
      <c r="B10" s="9" t="s">
        <v>28</v>
      </c>
      <c r="C10" s="10">
        <f>SUM(C5:C9)</f>
        <v>22.5</v>
      </c>
      <c r="D10" s="10"/>
      <c r="E10" s="11">
        <f t="shared" ref="E10:W10" si="0">SUM(E5:E9)</f>
        <v>138950</v>
      </c>
      <c r="F10" s="11">
        <f t="shared" si="0"/>
        <v>23084.88</v>
      </c>
      <c r="G10" s="11">
        <f t="shared" si="0"/>
        <v>14969.7</v>
      </c>
      <c r="H10" s="11">
        <f t="shared" si="0"/>
        <v>1247.48</v>
      </c>
      <c r="I10" s="11">
        <f t="shared" si="0"/>
        <v>974.83</v>
      </c>
      <c r="J10" s="11">
        <f t="shared" si="0"/>
        <v>5892.87</v>
      </c>
      <c r="K10" s="11">
        <f t="shared" si="0"/>
        <v>0</v>
      </c>
      <c r="L10" s="11">
        <f t="shared" si="0"/>
        <v>14922</v>
      </c>
      <c r="M10" s="11">
        <f t="shared" si="0"/>
        <v>0</v>
      </c>
      <c r="N10" s="11">
        <f t="shared" si="0"/>
        <v>176956.88</v>
      </c>
      <c r="O10" s="11">
        <f t="shared" si="0"/>
        <v>27848.6363636364</v>
      </c>
      <c r="P10" s="11">
        <f t="shared" si="0"/>
        <v>5622.65727272727</v>
      </c>
      <c r="Q10" s="11">
        <f t="shared" si="0"/>
        <v>3612.67159090909</v>
      </c>
      <c r="R10" s="11">
        <f t="shared" si="0"/>
        <v>315.978863636364</v>
      </c>
      <c r="S10" s="11">
        <f t="shared" si="0"/>
        <v>246.995909090909</v>
      </c>
      <c r="T10" s="11">
        <f t="shared" si="0"/>
        <v>1447.01090909091</v>
      </c>
      <c r="U10" s="11">
        <f t="shared" si="0"/>
        <v>0</v>
      </c>
      <c r="V10" s="11">
        <f t="shared" si="0"/>
        <v>3525.88636363636</v>
      </c>
      <c r="W10" s="11">
        <f t="shared" si="0"/>
        <v>0</v>
      </c>
      <c r="X10" s="11">
        <f>ROUND(SUM(X5:X9),2)+3400.85</f>
        <v>40398.03</v>
      </c>
      <c r="Y10" s="12"/>
      <c r="Z10" s="12">
        <f>SUM(Z5:Z9)</f>
        <v>36997.18</v>
      </c>
      <c r="AA10" s="12">
        <f>ROUND(ROUND(Z10,2)+3400.85-X10,2)</f>
        <v>0</v>
      </c>
    </row>
    <row r="11" ht="15" customHeight="1" spans="1:27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5" customHeight="1" spans="1:27">
      <c r="A12" s="2"/>
      <c r="B12" s="2" t="s">
        <v>29</v>
      </c>
      <c r="C12" s="2"/>
      <c r="D12" s="2"/>
      <c r="E12" s="2"/>
      <c r="F12" s="2"/>
      <c r="G12" s="2"/>
      <c r="H12" s="2" t="s">
        <v>30</v>
      </c>
      <c r="I12" s="2"/>
      <c r="J12" s="2"/>
      <c r="K12" s="2"/>
      <c r="L12" s="2"/>
      <c r="M12" s="2" t="s">
        <v>31</v>
      </c>
      <c r="N12" s="2"/>
      <c r="O12" s="2"/>
      <c r="P12" s="2"/>
      <c r="Q12" s="2"/>
      <c r="R12" s="2" t="s">
        <v>32</v>
      </c>
      <c r="S12" s="2"/>
      <c r="T12" s="2"/>
      <c r="U12" s="2"/>
      <c r="V12" s="2" t="s">
        <v>33</v>
      </c>
      <c r="W12" s="2"/>
      <c r="X12" s="2"/>
      <c r="Y12" s="5"/>
      <c r="Z12" s="5"/>
      <c r="AA12" s="5"/>
    </row>
  </sheetData>
  <mergeCells count="10">
    <mergeCell ref="B1:X1"/>
    <mergeCell ref="A2:L2"/>
    <mergeCell ref="M2:O2"/>
    <mergeCell ref="V2:X2"/>
    <mergeCell ref="E3:N3"/>
    <mergeCell ref="O3:X3"/>
    <mergeCell ref="A3:A4"/>
    <mergeCell ref="B3:B4"/>
    <mergeCell ref="C3:C4"/>
    <mergeCell ref="D3:D4"/>
  </mergeCells>
  <pageMargins left="0.699305555555556" right="0.699305555555556" top="0.75" bottom="0.75" header="0.3" footer="0.3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J16"/>
  <sheetViews>
    <sheetView showGridLines="0" workbookViewId="0">
      <pane xSplit="3" ySplit="4" topLeftCell="D5" activePane="bottomRight" state="frozen"/>
      <selection/>
      <selection pane="topRight"/>
      <selection pane="bottomLeft"/>
      <selection pane="bottomRight" activeCell="G17" sqref="G17"/>
    </sheetView>
  </sheetViews>
  <sheetFormatPr defaultColWidth="9" defaultRowHeight="13.5"/>
  <cols>
    <col min="1" max="1" width="2.83333333333333" customWidth="1"/>
    <col min="2" max="2" width="6.33333333333333" customWidth="1"/>
    <col min="3" max="3" width="4.66666666666667" customWidth="1"/>
    <col min="4" max="34" width="3.5" customWidth="1"/>
    <col min="35" max="35" width="4.58333333333333" customWidth="1"/>
    <col min="36" max="36" width="5.41666666666667" customWidth="1"/>
  </cols>
  <sheetData>
    <row r="1" ht="25.1" customHeight="1" spans="1:36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5.75" customHeight="1" spans="1:36">
      <c r="A2" s="2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  <c r="S2" s="5"/>
      <c r="T2" s="5"/>
      <c r="U2" s="5"/>
      <c r="V2" s="5"/>
      <c r="W2" s="5"/>
      <c r="X2" s="5"/>
      <c r="Y2" s="5"/>
      <c r="Z2" s="5"/>
      <c r="AA2" s="5" t="s">
        <v>36</v>
      </c>
      <c r="AB2" s="5"/>
      <c r="AC2" s="5"/>
      <c r="AD2" s="5"/>
      <c r="AE2" s="5" t="s">
        <v>3</v>
      </c>
      <c r="AF2" s="5"/>
      <c r="AG2" s="5"/>
      <c r="AH2" s="5"/>
      <c r="AI2" s="5"/>
      <c r="AJ2" s="5"/>
    </row>
    <row r="3" ht="15.75" customHeight="1" spans="1:36">
      <c r="A3" s="3" t="s">
        <v>5</v>
      </c>
      <c r="B3" s="3" t="s">
        <v>6</v>
      </c>
      <c r="C3" s="3" t="s">
        <v>37</v>
      </c>
      <c r="D3" s="3" t="s">
        <v>49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 t="s">
        <v>39</v>
      </c>
      <c r="AJ3" s="3" t="s">
        <v>40</v>
      </c>
    </row>
    <row r="4" ht="15.75" customHeight="1" spans="1:36">
      <c r="A4" s="3"/>
      <c r="B4" s="3"/>
      <c r="C4" s="3"/>
      <c r="D4" s="3">
        <v>21</v>
      </c>
      <c r="E4" s="3">
        <v>22</v>
      </c>
      <c r="F4" s="3">
        <v>23</v>
      </c>
      <c r="G4" s="3">
        <v>24</v>
      </c>
      <c r="H4" s="3">
        <v>25</v>
      </c>
      <c r="I4" s="3">
        <v>26</v>
      </c>
      <c r="J4" s="3">
        <v>27</v>
      </c>
      <c r="K4" s="3">
        <v>28</v>
      </c>
      <c r="L4" s="3">
        <v>29</v>
      </c>
      <c r="M4" s="3">
        <v>30</v>
      </c>
      <c r="N4" s="3">
        <v>31</v>
      </c>
      <c r="O4" s="3">
        <v>1</v>
      </c>
      <c r="P4" s="3">
        <v>2</v>
      </c>
      <c r="Q4" s="3">
        <v>3</v>
      </c>
      <c r="R4" s="3">
        <v>4</v>
      </c>
      <c r="S4" s="3">
        <v>5</v>
      </c>
      <c r="T4" s="3">
        <v>6</v>
      </c>
      <c r="U4" s="3">
        <v>7</v>
      </c>
      <c r="V4" s="3">
        <v>8</v>
      </c>
      <c r="W4" s="3">
        <v>9</v>
      </c>
      <c r="X4" s="3">
        <v>10</v>
      </c>
      <c r="Y4" s="3">
        <v>11</v>
      </c>
      <c r="Z4" s="3">
        <v>12</v>
      </c>
      <c r="AA4" s="3">
        <v>13</v>
      </c>
      <c r="AB4" s="3">
        <v>14</v>
      </c>
      <c r="AC4" s="3">
        <v>15</v>
      </c>
      <c r="AD4" s="3">
        <v>16</v>
      </c>
      <c r="AE4" s="3">
        <v>17</v>
      </c>
      <c r="AF4" s="3">
        <v>18</v>
      </c>
      <c r="AG4" s="3">
        <v>19</v>
      </c>
      <c r="AH4" s="3">
        <v>20</v>
      </c>
      <c r="AI4" s="3"/>
      <c r="AJ4" s="3"/>
    </row>
    <row r="5" ht="19" customHeight="1" spans="1:36">
      <c r="A5" s="4">
        <v>1</v>
      </c>
      <c r="B5" s="4" t="s">
        <v>23</v>
      </c>
      <c r="C5" s="4" t="s">
        <v>41</v>
      </c>
      <c r="D5" s="4">
        <v>8</v>
      </c>
      <c r="E5" s="4">
        <v>8</v>
      </c>
      <c r="F5" s="4">
        <v>8</v>
      </c>
      <c r="G5" s="4" t="s">
        <v>42</v>
      </c>
      <c r="H5" s="4" t="s">
        <v>42</v>
      </c>
      <c r="I5" s="4">
        <v>8</v>
      </c>
      <c r="J5" s="4">
        <v>8</v>
      </c>
      <c r="K5" s="4">
        <v>8</v>
      </c>
      <c r="L5" s="4">
        <v>8</v>
      </c>
      <c r="M5" s="4">
        <v>8</v>
      </c>
      <c r="N5" s="4" t="s">
        <v>42</v>
      </c>
      <c r="O5" s="4" t="s">
        <v>42</v>
      </c>
      <c r="P5" s="4">
        <v>8</v>
      </c>
      <c r="Q5" s="4">
        <v>8</v>
      </c>
      <c r="R5" s="4">
        <v>8</v>
      </c>
      <c r="S5" s="4">
        <v>8</v>
      </c>
      <c r="T5" s="4">
        <v>8</v>
      </c>
      <c r="U5" s="4" t="s">
        <v>42</v>
      </c>
      <c r="V5" s="4" t="s">
        <v>42</v>
      </c>
      <c r="W5" s="4">
        <v>8</v>
      </c>
      <c r="X5" s="4">
        <v>8</v>
      </c>
      <c r="Y5" s="4">
        <v>8</v>
      </c>
      <c r="Z5" s="4">
        <v>8</v>
      </c>
      <c r="AA5" s="4">
        <v>8</v>
      </c>
      <c r="AB5" s="4">
        <v>8</v>
      </c>
      <c r="AC5" s="4" t="s">
        <v>42</v>
      </c>
      <c r="AD5" s="4" t="s">
        <v>42</v>
      </c>
      <c r="AE5" s="4" t="s">
        <v>42</v>
      </c>
      <c r="AF5" s="4">
        <v>8</v>
      </c>
      <c r="AG5" s="4">
        <v>8</v>
      </c>
      <c r="AH5" s="4">
        <v>8</v>
      </c>
      <c r="AI5" s="4">
        <f>COUNT(D5:AH5)</f>
        <v>22</v>
      </c>
      <c r="AJ5" s="6"/>
    </row>
    <row r="6" ht="19" customHeight="1" spans="1:36">
      <c r="A6" s="4"/>
      <c r="B6" s="4"/>
      <c r="C6" s="4" t="s">
        <v>43</v>
      </c>
      <c r="D6" s="4"/>
      <c r="E6" s="4">
        <v>4</v>
      </c>
      <c r="F6" s="4"/>
      <c r="G6" s="4"/>
      <c r="H6" s="4"/>
      <c r="I6" s="4"/>
      <c r="J6" s="4"/>
      <c r="K6" s="4"/>
      <c r="L6" s="4">
        <v>8</v>
      </c>
      <c r="M6" s="4">
        <v>8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>
        <v>8</v>
      </c>
      <c r="Z6" s="4"/>
      <c r="AA6" s="4"/>
      <c r="AB6" s="4"/>
      <c r="AC6" s="4"/>
      <c r="AD6" s="4"/>
      <c r="AE6" s="4"/>
      <c r="AF6" s="4">
        <v>8</v>
      </c>
      <c r="AG6" s="4">
        <v>8</v>
      </c>
      <c r="AH6" s="4"/>
      <c r="AI6" s="4">
        <f>SUM(D6:AH6)/8</f>
        <v>5.5</v>
      </c>
      <c r="AJ6" s="6">
        <f>AI6/AI5</f>
        <v>0.25</v>
      </c>
    </row>
    <row r="7" ht="19" customHeight="1" spans="1:36">
      <c r="A7" s="4">
        <v>2</v>
      </c>
      <c r="B7" s="4" t="s">
        <v>25</v>
      </c>
      <c r="C7" s="4" t="s">
        <v>41</v>
      </c>
      <c r="D7" s="4">
        <v>8</v>
      </c>
      <c r="E7" s="4">
        <v>8</v>
      </c>
      <c r="F7" s="4">
        <v>8</v>
      </c>
      <c r="G7" s="4" t="s">
        <v>42</v>
      </c>
      <c r="H7" s="4" t="s">
        <v>42</v>
      </c>
      <c r="I7" s="4">
        <v>8</v>
      </c>
      <c r="J7" s="4">
        <v>8</v>
      </c>
      <c r="K7" s="4">
        <v>8</v>
      </c>
      <c r="L7" s="4">
        <v>8</v>
      </c>
      <c r="M7" s="4">
        <v>8</v>
      </c>
      <c r="N7" s="4" t="s">
        <v>42</v>
      </c>
      <c r="O7" s="4" t="s">
        <v>42</v>
      </c>
      <c r="P7" s="4">
        <v>8</v>
      </c>
      <c r="Q7" s="4">
        <v>8</v>
      </c>
      <c r="R7" s="4">
        <v>8</v>
      </c>
      <c r="S7" s="4">
        <v>8</v>
      </c>
      <c r="T7" s="4">
        <v>8</v>
      </c>
      <c r="U7" s="4" t="s">
        <v>42</v>
      </c>
      <c r="V7" s="4" t="s">
        <v>42</v>
      </c>
      <c r="W7" s="4">
        <v>8</v>
      </c>
      <c r="X7" s="4">
        <v>8</v>
      </c>
      <c r="Y7" s="4">
        <v>8</v>
      </c>
      <c r="Z7" s="4">
        <v>8</v>
      </c>
      <c r="AA7" s="4">
        <v>8</v>
      </c>
      <c r="AB7" s="4">
        <v>8</v>
      </c>
      <c r="AC7" s="4" t="s">
        <v>42</v>
      </c>
      <c r="AD7" s="4" t="s">
        <v>42</v>
      </c>
      <c r="AE7" s="4" t="s">
        <v>42</v>
      </c>
      <c r="AF7" s="4">
        <v>8</v>
      </c>
      <c r="AG7" s="4">
        <v>8</v>
      </c>
      <c r="AH7" s="4">
        <v>8</v>
      </c>
      <c r="AI7" s="4">
        <f>COUNT(D7:AH7)</f>
        <v>22</v>
      </c>
      <c r="AJ7" s="6"/>
    </row>
    <row r="8" ht="19" customHeight="1" spans="1:36">
      <c r="A8" s="4"/>
      <c r="B8" s="4"/>
      <c r="C8" s="4" t="s">
        <v>43</v>
      </c>
      <c r="D8" s="4"/>
      <c r="E8" s="4"/>
      <c r="F8" s="4"/>
      <c r="G8" s="4"/>
      <c r="H8" s="4"/>
      <c r="I8" s="4"/>
      <c r="J8" s="4"/>
      <c r="K8" s="4"/>
      <c r="L8" s="4">
        <v>8</v>
      </c>
      <c r="M8" s="4">
        <v>8</v>
      </c>
      <c r="N8" s="4"/>
      <c r="O8" s="4"/>
      <c r="P8" s="4">
        <v>8</v>
      </c>
      <c r="Q8" s="4">
        <v>8</v>
      </c>
      <c r="R8" s="4"/>
      <c r="S8" s="4">
        <v>8</v>
      </c>
      <c r="T8" s="4">
        <v>8</v>
      </c>
      <c r="U8" s="4"/>
      <c r="V8" s="4"/>
      <c r="W8" s="4"/>
      <c r="X8" s="4"/>
      <c r="Y8" s="4">
        <v>8</v>
      </c>
      <c r="Z8" s="4">
        <v>8</v>
      </c>
      <c r="AA8" s="4">
        <v>8</v>
      </c>
      <c r="AB8" s="4"/>
      <c r="AC8" s="4"/>
      <c r="AD8" s="4"/>
      <c r="AE8" s="4"/>
      <c r="AF8" s="4">
        <v>8</v>
      </c>
      <c r="AG8" s="4">
        <v>8</v>
      </c>
      <c r="AH8" s="4"/>
      <c r="AI8" s="4">
        <f>SUM(D8:AH8)/8</f>
        <v>11</v>
      </c>
      <c r="AJ8" s="6">
        <f>AI8/AI7</f>
        <v>0.5</v>
      </c>
    </row>
    <row r="9" ht="19" customHeight="1" spans="1:36">
      <c r="A9" s="4">
        <v>3</v>
      </c>
      <c r="B9" s="4" t="s">
        <v>26</v>
      </c>
      <c r="C9" s="4" t="s">
        <v>41</v>
      </c>
      <c r="D9" s="4">
        <v>8</v>
      </c>
      <c r="E9" s="4">
        <v>8</v>
      </c>
      <c r="F9" s="4">
        <v>8</v>
      </c>
      <c r="G9" s="4" t="s">
        <v>42</v>
      </c>
      <c r="H9" s="4" t="s">
        <v>42</v>
      </c>
      <c r="I9" s="4">
        <v>8</v>
      </c>
      <c r="J9" s="4">
        <v>8</v>
      </c>
      <c r="K9" s="4">
        <v>8</v>
      </c>
      <c r="L9" s="4">
        <v>8</v>
      </c>
      <c r="M9" s="4">
        <v>8</v>
      </c>
      <c r="N9" s="4" t="s">
        <v>42</v>
      </c>
      <c r="O9" s="4" t="s">
        <v>42</v>
      </c>
      <c r="P9" s="4">
        <v>8</v>
      </c>
      <c r="Q9" s="4">
        <v>8</v>
      </c>
      <c r="R9" s="4">
        <v>8</v>
      </c>
      <c r="S9" s="4">
        <v>8</v>
      </c>
      <c r="T9" s="4">
        <v>8</v>
      </c>
      <c r="U9" s="4" t="s">
        <v>42</v>
      </c>
      <c r="V9" s="4" t="s">
        <v>42</v>
      </c>
      <c r="W9" s="4">
        <v>8</v>
      </c>
      <c r="X9" s="4">
        <v>8</v>
      </c>
      <c r="Y9" s="4">
        <v>8</v>
      </c>
      <c r="Z9" s="4">
        <v>8</v>
      </c>
      <c r="AA9" s="4">
        <v>8</v>
      </c>
      <c r="AB9" s="4">
        <v>8</v>
      </c>
      <c r="AC9" s="4" t="s">
        <v>42</v>
      </c>
      <c r="AD9" s="4" t="s">
        <v>42</v>
      </c>
      <c r="AE9" s="4" t="s">
        <v>42</v>
      </c>
      <c r="AF9" s="4">
        <v>8</v>
      </c>
      <c r="AG9" s="4">
        <v>8</v>
      </c>
      <c r="AH9" s="4">
        <v>8</v>
      </c>
      <c r="AI9" s="4">
        <f>COUNT(D9:AH9)</f>
        <v>22</v>
      </c>
      <c r="AJ9" s="6"/>
    </row>
    <row r="10" ht="19" customHeight="1" spans="1:36">
      <c r="A10" s="4"/>
      <c r="B10" s="4"/>
      <c r="C10" s="4" t="s">
        <v>43</v>
      </c>
      <c r="D10" s="4"/>
      <c r="E10" s="4"/>
      <c r="F10" s="4"/>
      <c r="G10" s="4"/>
      <c r="H10" s="4"/>
      <c r="I10" s="4"/>
      <c r="J10" s="4"/>
      <c r="K10" s="4"/>
      <c r="L10" s="4"/>
      <c r="M10" s="4">
        <v>4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>
        <v>8</v>
      </c>
      <c r="Z10" s="4"/>
      <c r="AA10" s="4"/>
      <c r="AB10" s="4"/>
      <c r="AC10" s="4"/>
      <c r="AD10" s="4"/>
      <c r="AE10" s="4"/>
      <c r="AF10" s="4">
        <v>4</v>
      </c>
      <c r="AG10" s="4"/>
      <c r="AH10" s="4"/>
      <c r="AI10" s="4">
        <f>SUM(D10:AH10)/8</f>
        <v>2</v>
      </c>
      <c r="AJ10" s="6">
        <f>AI10/AI9</f>
        <v>0.0909090909090909</v>
      </c>
    </row>
    <row r="11" ht="19" customHeight="1" spans="1:36">
      <c r="A11" s="4">
        <v>4</v>
      </c>
      <c r="B11" s="4" t="s">
        <v>46</v>
      </c>
      <c r="C11" s="4" t="s">
        <v>41</v>
      </c>
      <c r="D11" s="4">
        <v>8</v>
      </c>
      <c r="E11" s="4">
        <v>8</v>
      </c>
      <c r="F11" s="4">
        <v>8</v>
      </c>
      <c r="G11" s="4" t="s">
        <v>42</v>
      </c>
      <c r="H11" s="4" t="s">
        <v>42</v>
      </c>
      <c r="I11" s="4">
        <v>8</v>
      </c>
      <c r="J11" s="4">
        <v>8</v>
      </c>
      <c r="K11" s="4">
        <v>8</v>
      </c>
      <c r="L11" s="4">
        <v>8</v>
      </c>
      <c r="M11" s="4">
        <v>8</v>
      </c>
      <c r="N11" s="4" t="s">
        <v>42</v>
      </c>
      <c r="O11" s="4" t="s">
        <v>42</v>
      </c>
      <c r="P11" s="4">
        <v>8</v>
      </c>
      <c r="Q11" s="4">
        <v>8</v>
      </c>
      <c r="R11" s="4">
        <v>8</v>
      </c>
      <c r="S11" s="4">
        <v>8</v>
      </c>
      <c r="T11" s="4">
        <v>8</v>
      </c>
      <c r="U11" s="4" t="s">
        <v>42</v>
      </c>
      <c r="V11" s="4" t="s">
        <v>42</v>
      </c>
      <c r="W11" s="4">
        <v>8</v>
      </c>
      <c r="X11" s="4">
        <v>8</v>
      </c>
      <c r="Y11" s="4">
        <v>8</v>
      </c>
      <c r="Z11" s="4">
        <v>8</v>
      </c>
      <c r="AA11" s="4">
        <v>8</v>
      </c>
      <c r="AB11" s="4">
        <v>8</v>
      </c>
      <c r="AC11" s="4" t="s">
        <v>42</v>
      </c>
      <c r="AD11" s="4" t="s">
        <v>42</v>
      </c>
      <c r="AE11" s="4" t="s">
        <v>42</v>
      </c>
      <c r="AF11" s="4">
        <v>8</v>
      </c>
      <c r="AG11" s="4">
        <v>8</v>
      </c>
      <c r="AH11" s="4">
        <v>8</v>
      </c>
      <c r="AI11" s="4">
        <f>COUNT(D11:AH11)</f>
        <v>22</v>
      </c>
      <c r="AJ11" s="6"/>
    </row>
    <row r="12" ht="19" customHeight="1" spans="1:36">
      <c r="A12" s="4"/>
      <c r="B12" s="4"/>
      <c r="C12" s="4" t="s">
        <v>43</v>
      </c>
      <c r="D12" s="4"/>
      <c r="E12" s="4"/>
      <c r="F12" s="4"/>
      <c r="G12" s="4"/>
      <c r="H12" s="4"/>
      <c r="I12" s="4"/>
      <c r="J12" s="4"/>
      <c r="K12" s="4"/>
      <c r="L12" s="4"/>
      <c r="M12" s="4">
        <v>4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>
        <v>8</v>
      </c>
      <c r="Z12" s="4"/>
      <c r="AA12" s="4"/>
      <c r="AB12" s="4"/>
      <c r="AC12" s="4"/>
      <c r="AD12" s="4"/>
      <c r="AE12" s="4"/>
      <c r="AF12" s="4">
        <v>4</v>
      </c>
      <c r="AG12" s="4"/>
      <c r="AH12" s="4"/>
      <c r="AI12" s="4">
        <f>SUM(D12:AH12)/8</f>
        <v>2</v>
      </c>
      <c r="AJ12" s="6">
        <f>AI12/AI11</f>
        <v>0.0909090909090909</v>
      </c>
    </row>
    <row r="13" ht="19" customHeight="1" spans="1:36">
      <c r="A13" s="4">
        <v>5</v>
      </c>
      <c r="B13" s="4" t="s">
        <v>27</v>
      </c>
      <c r="C13" s="4" t="s">
        <v>41</v>
      </c>
      <c r="D13" s="4">
        <v>8</v>
      </c>
      <c r="E13" s="4">
        <v>8</v>
      </c>
      <c r="F13" s="4">
        <v>8</v>
      </c>
      <c r="G13" s="4" t="s">
        <v>42</v>
      </c>
      <c r="H13" s="4" t="s">
        <v>42</v>
      </c>
      <c r="I13" s="4">
        <v>8</v>
      </c>
      <c r="J13" s="4">
        <v>8</v>
      </c>
      <c r="K13" s="4">
        <v>8</v>
      </c>
      <c r="L13" s="4">
        <v>8</v>
      </c>
      <c r="M13" s="4">
        <v>8</v>
      </c>
      <c r="N13" s="4" t="s">
        <v>42</v>
      </c>
      <c r="O13" s="4" t="s">
        <v>42</v>
      </c>
      <c r="P13" s="4">
        <v>8</v>
      </c>
      <c r="Q13" s="4">
        <v>8</v>
      </c>
      <c r="R13" s="4">
        <v>8</v>
      </c>
      <c r="S13" s="4">
        <v>8</v>
      </c>
      <c r="T13" s="4">
        <v>8</v>
      </c>
      <c r="U13" s="4" t="s">
        <v>42</v>
      </c>
      <c r="V13" s="4" t="s">
        <v>42</v>
      </c>
      <c r="W13" s="4">
        <v>8</v>
      </c>
      <c r="X13" s="4">
        <v>8</v>
      </c>
      <c r="Y13" s="4">
        <v>8</v>
      </c>
      <c r="Z13" s="4">
        <v>8</v>
      </c>
      <c r="AA13" s="4">
        <v>8</v>
      </c>
      <c r="AB13" s="4">
        <v>8</v>
      </c>
      <c r="AC13" s="4" t="s">
        <v>42</v>
      </c>
      <c r="AD13" s="4" t="s">
        <v>42</v>
      </c>
      <c r="AE13" s="4" t="s">
        <v>42</v>
      </c>
      <c r="AF13" s="4">
        <v>8</v>
      </c>
      <c r="AG13" s="4">
        <v>8</v>
      </c>
      <c r="AH13" s="4">
        <v>8</v>
      </c>
      <c r="AI13" s="4">
        <f>COUNT(D13:AH13)</f>
        <v>22</v>
      </c>
      <c r="AJ13" s="6"/>
    </row>
    <row r="14" ht="19" customHeight="1" spans="1:36">
      <c r="A14" s="4"/>
      <c r="B14" s="4"/>
      <c r="C14" s="4" t="s">
        <v>43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>
        <v>8</v>
      </c>
      <c r="AG14" s="4">
        <v>8</v>
      </c>
      <c r="AH14" s="4"/>
      <c r="AI14" s="4">
        <f>SUM(D14:AH14)/8</f>
        <v>2</v>
      </c>
      <c r="AJ14" s="6">
        <f>AI14/AI13</f>
        <v>0.0909090909090909</v>
      </c>
    </row>
    <row r="15" ht="27" customHeight="1" spans="1:36">
      <c r="A15" s="2" t="s">
        <v>44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ht="24" customHeight="1" spans="1:36">
      <c r="A16" s="2" t="s">
        <v>29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 t="s">
        <v>33</v>
      </c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</sheetData>
  <mergeCells count="22">
    <mergeCell ref="A1:AJ1"/>
    <mergeCell ref="A2:Q2"/>
    <mergeCell ref="AA2:AD2"/>
    <mergeCell ref="AE2:AI2"/>
    <mergeCell ref="D3:AH3"/>
    <mergeCell ref="A15:AJ15"/>
    <mergeCell ref="A16:E16"/>
    <mergeCell ref="A3:A4"/>
    <mergeCell ref="A5:A6"/>
    <mergeCell ref="A7:A8"/>
    <mergeCell ref="A9:A10"/>
    <mergeCell ref="A11:A12"/>
    <mergeCell ref="A13:A14"/>
    <mergeCell ref="B3:B4"/>
    <mergeCell ref="B5:B6"/>
    <mergeCell ref="B7:B8"/>
    <mergeCell ref="B9:B10"/>
    <mergeCell ref="B11:B12"/>
    <mergeCell ref="B13:B14"/>
    <mergeCell ref="C3:C4"/>
    <mergeCell ref="AI3:AI4"/>
    <mergeCell ref="AJ3:AJ4"/>
  </mergeCells>
  <dataValidations count="1">
    <dataValidation type="decimal" operator="between" sqref="D6:AH6 D8:AH8 D10:AH10 D12:AH12 D14:AH14">
      <formula1>0</formula1>
      <formula2>8</formula2>
    </dataValidation>
  </dataValidations>
  <pageMargins left="0.699305555555556" right="0.699305555555556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202407月</vt:lpstr>
      <vt:lpstr>202407月考勤表</vt:lpstr>
      <vt:lpstr>202408月</vt:lpstr>
      <vt:lpstr>202408月考勤表</vt:lpstr>
      <vt:lpstr>202409月</vt:lpstr>
      <vt:lpstr>202409月考勤表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陈前</cp:lastModifiedBy>
  <dcterms:created xsi:type="dcterms:W3CDTF">2026-10-14T15:14:00Z</dcterms:created>
  <dcterms:modified xsi:type="dcterms:W3CDTF">2026-10-15T05:35:01Z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07B67DEF4CDB4DBD88BEE5D8FE0592EB_13</vt:lpwstr>
  </property>
  <property fmtid="{D5CDD505-2E9C-101B-9397-08002B2CF9AE}" pid="3" name="KSOProductBuildVer">
    <vt:lpwstr>2052-12.8.2.21177</vt:lpwstr>
  </property>
</Properties>
</file>